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HESIS\CIM_Soc\"/>
    </mc:Choice>
  </mc:AlternateContent>
  <xr:revisionPtr revIDLastSave="0" documentId="13_ncr:1_{6E642B4C-B23B-4F89-A279-44171280F31B}" xr6:coauthVersionLast="47" xr6:coauthVersionMax="47" xr10:uidLastSave="{00000000-0000-0000-0000-000000000000}"/>
  <bookViews>
    <workbookView xWindow="-109" yWindow="-109" windowWidth="26301" windowHeight="16520" tabRatio="796" xr2:uid="{00000000-000D-0000-FFFF-FFFF00000000}"/>
  </bookViews>
  <sheets>
    <sheet name="User Inputs" sheetId="1" r:id="rId1"/>
    <sheet name="Derived Hardware Parameters" sheetId="2" r:id="rId2"/>
    <sheet name="Workload Mapping" sheetId="3" r:id="rId3"/>
    <sheet name="Performance Estimation" sheetId="4" r:id="rId4"/>
    <sheet name="Summary Dashboard" sheetId="5" r:id="rId5"/>
    <sheet name="Assumption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5" l="1"/>
  <c r="A10" i="5"/>
  <c r="B6" i="5"/>
  <c r="A6" i="5"/>
  <c r="B25" i="4"/>
  <c r="B23" i="4"/>
  <c r="B24" i="4" s="1"/>
  <c r="B6" i="4"/>
  <c r="B15" i="3"/>
  <c r="B9" i="3"/>
  <c r="B7" i="3"/>
  <c r="B6" i="3"/>
  <c r="B8" i="3" s="1"/>
  <c r="B8" i="2"/>
  <c r="B9" i="2" s="1"/>
  <c r="D6" i="5" s="1"/>
  <c r="B6" i="2"/>
  <c r="B7" i="2" s="1"/>
  <c r="C6" i="5" s="1"/>
  <c r="B10" i="3" l="1"/>
  <c r="B10" i="5"/>
  <c r="B11" i="3"/>
  <c r="B19" i="4" s="1"/>
  <c r="A22" i="5" s="1"/>
  <c r="A18" i="5"/>
  <c r="B26" i="4"/>
  <c r="C18" i="5" s="1"/>
  <c r="B7" i="4" l="1"/>
  <c r="C10" i="5"/>
  <c r="B11" i="4" l="1"/>
  <c r="A14" i="5"/>
  <c r="B13" i="4" l="1"/>
  <c r="B14" i="4" s="1"/>
  <c r="B15" i="4" s="1"/>
  <c r="C14" i="5" s="1"/>
  <c r="B12" i="4"/>
  <c r="B1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000-000001000000}">
      <text>
        <r>
          <rPr>
            <sz val="10"/>
            <rFont val="Arial"/>
            <family val="2"/>
          </rPr>
          <t>e.g. 32 for a 32x32 array. Maps to the contraction (K) dimension per tile.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e.g. 32 for a 32x32 array. Maps to the output (N) dimension per tile.</t>
        </r>
      </text>
    </comment>
    <comment ref="B8" authorId="0" shapeId="0" xr:uid="{00000000-0006-0000-0000-000003000000}">
      <text>
        <r>
          <rPr>
            <sz val="10"/>
            <rFont val="Arial"/>
            <family val="2"/>
          </rPr>
          <t>Total independently-operable CIM array instances in the accelerator.</t>
        </r>
      </text>
    </comment>
    <comment ref="B9" authorId="0" shapeId="0" xr:uid="{00000000-0006-0000-0000-000004000000}">
      <text>
        <r>
          <rPr>
            <sz val="10"/>
            <rFont val="Arial"/>
            <family val="2"/>
          </rPr>
          <t>Bits per ADC conversion (per column readout). Used only for reference; does not affect cycle/latency estimates in this first-order model.</t>
        </r>
      </text>
    </comment>
    <comment ref="B10" authorId="0" shapeId="0" xr:uid="{00000000-0006-0000-0000-000005000000}">
      <text>
        <r>
          <rPr>
            <sz val="10"/>
            <rFont val="Arial"/>
            <family val="2"/>
          </rPr>
          <t>Bit-width of stored weights (e.g. INT4).</t>
        </r>
      </text>
    </comment>
    <comment ref="B11" authorId="0" shapeId="0" xr:uid="{00000000-0006-0000-0000-000006000000}">
      <text>
        <r>
          <rPr>
            <sz val="10"/>
            <rFont val="Arial"/>
            <family val="2"/>
          </rPr>
          <t>Bit-width of input activations fed into the array.</t>
        </r>
      </text>
    </comment>
    <comment ref="B12" authorId="0" shapeId="0" xr:uid="{00000000-0006-0000-0000-000007000000}">
      <text>
        <r>
          <rPr>
            <sz val="10"/>
            <rFont val="Arial"/>
            <family val="2"/>
          </rPr>
          <t>Macro-level operating clock frequency.</t>
        </r>
      </text>
    </comment>
    <comment ref="B16" authorId="0" shapeId="0" xr:uid="{00000000-0006-0000-0000-000008000000}">
      <text>
        <r>
          <rPr>
            <sz val="10"/>
            <rFont val="Arial"/>
            <family val="2"/>
          </rPr>
          <t>Number of input tokens / spatial positions streamed through the array.</t>
        </r>
      </text>
    </comment>
    <comment ref="B17" authorId="0" shapeId="0" xr:uid="{00000000-0006-0000-0000-000009000000}">
      <text>
        <r>
          <rPr>
            <sz val="10"/>
            <rFont val="Arial"/>
            <family val="2"/>
          </rPr>
          <t>Shared inner dimension between activations (MxK) and weights (KxN).</t>
        </r>
      </text>
    </comment>
    <comment ref="B18" authorId="0" shapeId="0" xr:uid="{00000000-0006-0000-0000-00000A000000}">
      <text>
        <r>
          <rPr>
            <sz val="10"/>
            <rFont val="Arial"/>
            <family val="2"/>
          </rPr>
          <t>Output feature dimension.</t>
        </r>
      </text>
    </comment>
    <comment ref="B22" authorId="0" shapeId="0" xr:uid="{00000000-0006-0000-0000-00000B000000}">
      <text>
        <r>
          <rPr>
            <sz val="10"/>
            <rFont val="Arial"/>
            <family val="2"/>
          </rPr>
          <t>Available on-chip partial-sum accumulator memory capacity.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Arial"/>
            <family val="2"/>
          </rPr>
          <t>Array Rows x Array Cols. Assumption: one PE stores one weight (a 32x32 array = 1024 PEs).</t>
        </r>
      </text>
    </comment>
    <comment ref="A8" authorId="0" shapeId="0" xr:uid="{00000000-0006-0000-0100-000002000000}">
      <text>
        <r>
          <rPr>
            <sz val="10"/>
            <rFont val="Arial"/>
            <family val="2"/>
          </rPr>
          <t>Assumption: one ADC per column of the array.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200-000001000000}">
      <text>
        <r>
          <rPr>
            <sz val="10"/>
            <rFont val="Arial"/>
            <family val="2"/>
          </rPr>
          <t>K is tiled by the array's row dimension (weight-stationary: K maps to array rows).</t>
        </r>
      </text>
    </comment>
    <comment ref="A7" authorId="0" shapeId="0" xr:uid="{00000000-0006-0000-0200-000002000000}">
      <text>
        <r>
          <rPr>
            <sz val="10"/>
            <rFont val="Arial"/>
            <family val="2"/>
          </rPr>
          <t>N is tiled by the array's column dimension.</t>
        </r>
      </text>
    </comment>
    <comment ref="A8" authorId="0" shapeId="0" xr:uid="{00000000-0006-0000-0200-000003000000}">
      <text>
        <r>
          <rPr>
            <sz val="10"/>
            <rFont val="Arial"/>
            <family val="2"/>
          </rPr>
          <t>Total (K,N) tile pairs needed to cover the full weight matrix. Each tile = one array's worth of weights.</t>
        </r>
      </text>
    </comment>
    <comment ref="A10" authorId="0" shapeId="0" xr:uid="{00000000-0006-0000-0200-000004000000}">
      <text>
        <r>
          <rPr>
            <sz val="10"/>
            <rFont val="Arial"/>
            <family val="2"/>
          </rPr>
          <t>Batches = CEILING(Total Tiles / Number of Arrays). A batch is one round of computation, used only when there are more tiles than available arrays.</t>
        </r>
      </text>
    </comment>
    <comment ref="A11" authorId="0" shapeId="0" xr:uid="{00000000-0006-0000-0200-000005000000}">
      <text>
        <r>
          <rPr>
            <sz val="10"/>
            <rFont val="Arial"/>
            <family val="2"/>
          </rPr>
          <t>Total Tiles / Batches — how many arrays are kept busy on average across all batches (the last batch may use fewer than the full array count).</t>
        </r>
      </text>
    </comment>
    <comment ref="A15" authorId="0" shapeId="0" xr:uid="{00000000-0006-0000-0200-000006000000}">
      <text>
        <r>
          <rPr>
            <sz val="10"/>
            <rFont val="Arial"/>
            <family val="2"/>
          </rPr>
          <t>M x K x N — one MAC per output element per contraction step.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300-000001000000}">
      <text>
        <r>
          <rPr>
            <sz val="10"/>
            <rFont val="Arial"/>
            <family val="2"/>
          </rPr>
          <t>First-order assumption: one activation row (of M) is streamed and processed per clock cycle, in parallel across all arrays in the batch.</t>
        </r>
      </text>
    </comment>
    <comment ref="A7" authorId="0" shapeId="0" xr:uid="{00000000-0006-0000-0300-000002000000}">
      <text>
        <r>
          <rPr>
            <sz val="10"/>
            <rFont val="Arial"/>
            <family val="2"/>
          </rPr>
          <t>Batches x Cycles per Batch. Batches run sequentially; tiles within a batch run in parallel across arrays.</t>
        </r>
      </text>
    </comment>
    <comment ref="A11" authorId="0" shapeId="0" xr:uid="{00000000-0006-0000-0300-000003000000}">
      <text>
        <r>
          <rPr>
            <sz val="10"/>
            <rFont val="Arial"/>
            <family val="2"/>
          </rPr>
          <t>Total Cycles / Clock Frequency.</t>
        </r>
      </text>
    </comment>
    <comment ref="A13" authorId="0" shapeId="0" xr:uid="{00000000-0006-0000-0300-000004000000}">
      <text>
        <r>
          <rPr>
            <sz val="10"/>
            <rFont val="Arial"/>
            <family val="2"/>
          </rPr>
          <t>Total MACs / total latency.</t>
        </r>
      </text>
    </comment>
    <comment ref="A14" authorId="0" shapeId="0" xr:uid="{00000000-0006-0000-0300-000005000000}">
      <text>
        <r>
          <rPr>
            <sz val="10"/>
            <rFont val="Arial"/>
            <family val="2"/>
          </rPr>
          <t>Assumption: 1 MAC = 2 operations (1 multiply + 1 add).</t>
        </r>
      </text>
    </comment>
    <comment ref="A19" authorId="0" shapeId="0" xr:uid="{00000000-0006-0000-0300-000006000000}">
      <text>
        <r>
          <rPr>
            <sz val="10"/>
            <rFont val="Arial"/>
            <family val="2"/>
          </rPr>
          <t>Arrays Used / Total Arrays (averaged across batches).</t>
        </r>
      </text>
    </comment>
    <comment ref="A23" authorId="0" shapeId="0" xr:uid="{00000000-0006-0000-0300-000007000000}">
      <text>
        <r>
          <rPr>
            <sz val="10"/>
            <rFont val="Arial"/>
            <family val="2"/>
          </rPr>
          <t>Assumption: accumulator width = weight bits + activation bits + log2(array rows), to bound worst-case growth from summing K partial products within one tile.</t>
        </r>
      </text>
    </comment>
    <comment ref="A24" authorId="0" shapeId="0" xr:uid="{00000000-0006-0000-0300-000008000000}">
      <text>
        <r>
          <rPr>
            <sz val="10"/>
            <rFont val="Arial"/>
            <family val="2"/>
          </rPr>
          <t>M x N output elements x accumulator width, converted to KB. Assumes the full output tile's accumulators are resident before write-back.</t>
        </r>
      </text>
    </comment>
    <comment ref="A26" authorId="0" shapeId="0" xr:uid="{00000000-0006-0000-0300-000009000000}">
      <text>
        <r>
          <rPr>
            <sz val="10"/>
            <rFont val="Arial"/>
            <family val="2"/>
          </rPr>
          <t>Fits if Required PSUM Storage &lt;= Available PSUM Storage, otherwise Overflow.</t>
        </r>
      </text>
    </comment>
  </commentList>
</comments>
</file>

<file path=xl/sharedStrings.xml><?xml version="1.0" encoding="utf-8"?>
<sst xmlns="http://schemas.openxmlformats.org/spreadsheetml/2006/main" count="173" uniqueCount="110">
  <si>
    <t>Edit only the yellow cells below. All other sheets compute automatically from these values.</t>
  </si>
  <si>
    <t>Array &amp; System Configuration</t>
  </si>
  <si>
    <t>Parameter</t>
  </si>
  <si>
    <t>Value</t>
  </si>
  <si>
    <t>Unit</t>
  </si>
  <si>
    <t>Notes</t>
  </si>
  <si>
    <t>Array Size — Rows</t>
  </si>
  <si>
    <t>rows</t>
  </si>
  <si>
    <t>Array Size — Cols</t>
  </si>
  <si>
    <t>cols</t>
  </si>
  <si>
    <t>Number of CIM Arrays / Macros</t>
  </si>
  <si>
    <t>arrays</t>
  </si>
  <si>
    <t>ADC Resolution</t>
  </si>
  <si>
    <t>bits</t>
  </si>
  <si>
    <t>Weight Precision</t>
  </si>
  <si>
    <t>Activation Precision</t>
  </si>
  <si>
    <t>Clock Frequency</t>
  </si>
  <si>
    <t>MHz</t>
  </si>
  <si>
    <t>Workload — Matrix Dimensions (M x K) . (K x N)</t>
  </si>
  <si>
    <t>Matrix Dimension M (rows of activation matrix)</t>
  </si>
  <si>
    <t>tokens</t>
  </si>
  <si>
    <t>elements</t>
  </si>
  <si>
    <t>Matrix Dimension N (cols of weight matrix)</t>
  </si>
  <si>
    <t>Memory Configuration</t>
  </si>
  <si>
    <t>PSUM Memory Size (available capacity)</t>
  </si>
  <si>
    <t>KB</t>
  </si>
  <si>
    <t>Derived Hardware Parameters</t>
  </si>
  <si>
    <t>All cells below are computed with formulas from 'User Inputs'. No manual edits needed.</t>
  </si>
  <si>
    <t>Processing Elements &amp; ADCs</t>
  </si>
  <si>
    <t>Metric</t>
  </si>
  <si>
    <t>Formula / Notes</t>
  </si>
  <si>
    <t>PEs per Array</t>
  </si>
  <si>
    <t>PEs</t>
  </si>
  <si>
    <t>Total Number of PEs</t>
  </si>
  <si>
    <t>Number of ADCs per Array</t>
  </si>
  <si>
    <t>ADCs</t>
  </si>
  <si>
    <t>Total Number of ADCs</t>
  </si>
  <si>
    <t>Workload Mapping</t>
  </si>
  <si>
    <t>Maps the (M x K) . (K x N) matrix multiplication onto the array grid. Arrays execute tiles in parallel; batches only occur if there are more tiles than arrays.</t>
  </si>
  <si>
    <t>Tiling</t>
  </si>
  <si>
    <t>Tiles along K (contraction dim)</t>
  </si>
  <si>
    <t>tiles</t>
  </si>
  <si>
    <t>Tiles along N (output dim)</t>
  </si>
  <si>
    <t>Total Number of Tiles</t>
  </si>
  <si>
    <t>Number of Arrays Available</t>
  </si>
  <si>
    <t>Number of Batches Required</t>
  </si>
  <si>
    <t>batches</t>
  </si>
  <si>
    <t>Average Arrays Used per Batch</t>
  </si>
  <si>
    <t>Compute Volume</t>
  </si>
  <si>
    <t>Total MAC Operations</t>
  </si>
  <si>
    <t>MACs</t>
  </si>
  <si>
    <t>Performance Estimation</t>
  </si>
  <si>
    <t>First-order estimate only. One clock cycle streams one row of M through a tile; no pipeline fill/drain, ADC settling, or timing overlap is modeled.</t>
  </si>
  <si>
    <t>Cycle Estimation</t>
  </si>
  <si>
    <t>Cycles per Batch</t>
  </si>
  <si>
    <t>cycles</t>
  </si>
  <si>
    <t>Total Estimated Execution Cycles</t>
  </si>
  <si>
    <t>Latency &amp; Throughput</t>
  </si>
  <si>
    <t>Estimated Latency</t>
  </si>
  <si>
    <t>s</t>
  </si>
  <si>
    <t>ms</t>
  </si>
  <si>
    <t>Estimated Throughput</t>
  </si>
  <si>
    <t>MACs/s</t>
  </si>
  <si>
    <t>Ops/s</t>
  </si>
  <si>
    <t>TOPS</t>
  </si>
  <si>
    <t>Array Utilization</t>
  </si>
  <si>
    <t>%</t>
  </si>
  <si>
    <t>PSUM Memory</t>
  </si>
  <si>
    <t>Estimated PSUM Accumulator Width</t>
  </si>
  <si>
    <t>Required PSUM Storage</t>
  </si>
  <si>
    <t>Available PSUM Storage</t>
  </si>
  <si>
    <t>Status</t>
  </si>
  <si>
    <t>Summary Dashboard — CIM First-Order Estimate</t>
  </si>
  <si>
    <t>Live links to the calculation sheets. Architecture-level estimate only — see the Assumptions sheet.</t>
  </si>
  <si>
    <t>Hardware</t>
  </si>
  <si>
    <t>Array Size</t>
  </si>
  <si>
    <t>Number of Arrays</t>
  </si>
  <si>
    <t>Total PEs</t>
  </si>
  <si>
    <t>Total ADCs</t>
  </si>
  <si>
    <t>Workload</t>
  </si>
  <si>
    <t>Matrix Size (M x K x N)</t>
  </si>
  <si>
    <t>Total Tiles</t>
  </si>
  <si>
    <t>Total Batches</t>
  </si>
  <si>
    <t>Performance</t>
  </si>
  <si>
    <t>Estimated Cycles</t>
  </si>
  <si>
    <t>Latency</t>
  </si>
  <si>
    <t>Throughput</t>
  </si>
  <si>
    <t>Memory</t>
  </si>
  <si>
    <t>Required PSUM</t>
  </si>
  <si>
    <t>Available PSUM</t>
  </si>
  <si>
    <t>Utilization</t>
  </si>
  <si>
    <t>Note: this is a first-order architectural estimator (fit, tiles, batches, array utilization, approximate cycles/latency/throughput, PSUM fit check). It does not model pipeline timing, ADC settling, analog non-idealities, routing delays, or RTL-level behavior. See the Assumptions sheet.</t>
  </si>
  <si>
    <t>Assumptions</t>
  </si>
  <si>
    <t>This workbook is a first-order architecture-level estimator only. It exists to sanity-check whether a workload fits an architecture before building the detailed cim_sim Python simulator.</t>
  </si>
  <si>
    <t>#</t>
  </si>
  <si>
    <t>Assumption</t>
  </si>
  <si>
    <t>One ADC is assigned per column of a CIM array (ADCs per array = Array Cols).</t>
  </si>
  <si>
    <t>One PE stores one weight; a 32x32 array therefore contains 1024 PEs (PEs per array = Array Rows x Array Cols).</t>
  </si>
  <si>
    <t>Total tiles required = CEILING(K / Array Rows) x CEILING(N / Array Cols).</t>
  </si>
  <si>
    <t>Batches occur only when the number of tiles exceeds the number of available arrays: Batches = CEILING(Total Tiles / Number of Arrays). One batch = one round of computation.</t>
  </si>
  <si>
    <t>Total Estimated Execution Cycles = Batches x Cycles per Batch (batches run sequentially; tiles within a batch run in parallel across arrays).</t>
  </si>
  <si>
    <t>1 MAC (multiply-accumulate) is counted as 2 operations (1 multiply + 1 add) when converting MACs/s to Ops/s and TOPS.</t>
  </si>
  <si>
    <t>Required PSUM Storage = M x N x (PSUM accumulator width in bits) / 8 / 1024 — enough KB to hold the full M x N output tile's accumulators before write-back.</t>
  </si>
  <si>
    <t>CIM Architectural Estimator Basic — User Inputs</t>
  </si>
  <si>
    <t>Matrix Dimension K (rows of weight matrix)</t>
  </si>
  <si>
    <t xml:space="preserve">Estimated Latency = Total Cycles / Clock Frequency. </t>
  </si>
  <si>
    <t xml:space="preserve">The (M x K) . (K x N) matrix multiplication is partitioned into tiles sized to the array. ile is one piece of the matrix multiplication that fits into one 32×32 CIM array. A batch is the number of tiles that can be put in the cim arrays parallelly. Eg How many tiles can my 16 arrays handle at once? </t>
  </si>
  <si>
    <t>Array Utilization = Arrays Used / Total Arrays, averaged across all batches (Total Tiles / Batches / Total Arrays).</t>
  </si>
  <si>
    <t>Estimated PSUM accumulator width = Weight Precision + Activation Precision + log2(Array Rows), rounded up — a simple bound on bit growth from summing partial products.</t>
  </si>
  <si>
    <t>Weight-write time for the CIM cells (e.g. for dynamic weights) is not included in this estimate.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</si>
</sst>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"/>
    <numFmt numFmtId="166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b/>
      <sz val="11"/>
      <color rgb="FF000000"/>
      <name val="Arial"/>
      <charset val="1"/>
    </font>
    <font>
      <b/>
      <sz val="14"/>
      <color rgb="FF1F4E78"/>
      <name val="Arial"/>
      <charset val="1"/>
    </font>
    <font>
      <b/>
      <sz val="16"/>
      <color rgb="FF1F4E78"/>
      <name val="Arial"/>
      <charset val="1"/>
    </font>
    <font>
      <b/>
      <sz val="13"/>
      <color rgb="FF1F4E78"/>
      <name val="Arial"/>
      <charset val="1"/>
    </font>
    <font>
      <b/>
      <sz val="16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inden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6" fillId="5" borderId="1" xfId="0" applyFont="1" applyFill="1" applyBorder="1" applyAlignment="1">
      <alignment horizontal="center"/>
    </xf>
    <xf numFmtId="0" fontId="2" fillId="0" borderId="1" xfId="0" applyFont="1" applyBorder="1"/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workbookViewId="0">
      <pane ySplit="3" topLeftCell="A7" activePane="bottomLeft" state="frozen"/>
      <selection pane="bottomLeft" activeCell="A18" sqref="A18"/>
    </sheetView>
  </sheetViews>
  <sheetFormatPr defaultColWidth="8.625" defaultRowHeight="14.3" x14ac:dyDescent="0.25"/>
  <cols>
    <col min="1" max="1" width="34" customWidth="1"/>
    <col min="2" max="2" width="14" customWidth="1"/>
    <col min="3" max="3" width="30" customWidth="1"/>
    <col min="4" max="4" width="40" customWidth="1"/>
  </cols>
  <sheetData>
    <row r="1" spans="1:4" ht="25.5" customHeight="1" x14ac:dyDescent="0.25">
      <c r="A1" s="4" t="s">
        <v>103</v>
      </c>
      <c r="B1" s="4"/>
      <c r="C1" s="4"/>
      <c r="D1" s="4"/>
    </row>
    <row r="2" spans="1:4" x14ac:dyDescent="0.25">
      <c r="A2" s="3" t="s">
        <v>0</v>
      </c>
      <c r="B2" s="3"/>
      <c r="C2" s="3"/>
      <c r="D2" s="3"/>
    </row>
    <row r="4" spans="1:4" ht="18" customHeight="1" x14ac:dyDescent="0.25">
      <c r="A4" s="2" t="s">
        <v>1</v>
      </c>
      <c r="B4" s="2"/>
      <c r="C4" s="2"/>
      <c r="D4" s="2"/>
    </row>
    <row r="5" spans="1:4" x14ac:dyDescent="0.25">
      <c r="A5" s="5" t="s">
        <v>2</v>
      </c>
      <c r="B5" s="5" t="s">
        <v>3</v>
      </c>
      <c r="C5" s="5" t="s">
        <v>4</v>
      </c>
      <c r="D5" s="5" t="s">
        <v>5</v>
      </c>
    </row>
    <row r="6" spans="1:4" x14ac:dyDescent="0.25">
      <c r="A6" s="6" t="s">
        <v>6</v>
      </c>
      <c r="B6" s="7">
        <v>32</v>
      </c>
      <c r="C6" s="8" t="s">
        <v>7</v>
      </c>
    </row>
    <row r="7" spans="1:4" x14ac:dyDescent="0.25">
      <c r="A7" s="6" t="s">
        <v>8</v>
      </c>
      <c r="B7" s="7">
        <v>32</v>
      </c>
      <c r="C7" s="8" t="s">
        <v>9</v>
      </c>
    </row>
    <row r="8" spans="1:4" x14ac:dyDescent="0.25">
      <c r="A8" s="6" t="s">
        <v>10</v>
      </c>
      <c r="B8" s="7">
        <v>128</v>
      </c>
      <c r="C8" s="8" t="s">
        <v>11</v>
      </c>
    </row>
    <row r="9" spans="1:4" x14ac:dyDescent="0.25">
      <c r="A9" s="6" t="s">
        <v>12</v>
      </c>
      <c r="B9" s="7">
        <v>8</v>
      </c>
      <c r="C9" s="8" t="s">
        <v>13</v>
      </c>
    </row>
    <row r="10" spans="1:4" x14ac:dyDescent="0.25">
      <c r="A10" s="6" t="s">
        <v>14</v>
      </c>
      <c r="B10" s="7">
        <v>4</v>
      </c>
      <c r="C10" s="8" t="s">
        <v>13</v>
      </c>
    </row>
    <row r="11" spans="1:4" x14ac:dyDescent="0.25">
      <c r="A11" s="6" t="s">
        <v>15</v>
      </c>
      <c r="B11" s="7">
        <v>8</v>
      </c>
      <c r="C11" s="8" t="s">
        <v>13</v>
      </c>
    </row>
    <row r="12" spans="1:4" x14ac:dyDescent="0.25">
      <c r="A12" s="6" t="s">
        <v>16</v>
      </c>
      <c r="B12" s="7">
        <v>500</v>
      </c>
      <c r="C12" s="8" t="s">
        <v>17</v>
      </c>
    </row>
    <row r="14" spans="1:4" ht="18" customHeight="1" x14ac:dyDescent="0.25">
      <c r="A14" s="2" t="s">
        <v>18</v>
      </c>
      <c r="B14" s="2"/>
      <c r="C14" s="2"/>
      <c r="D14" s="2"/>
    </row>
    <row r="15" spans="1:4" x14ac:dyDescent="0.25">
      <c r="A15" s="5" t="s">
        <v>2</v>
      </c>
      <c r="B15" s="5" t="s">
        <v>3</v>
      </c>
      <c r="C15" s="5" t="s">
        <v>4</v>
      </c>
      <c r="D15" s="5" t="s">
        <v>5</v>
      </c>
    </row>
    <row r="16" spans="1:4" x14ac:dyDescent="0.25">
      <c r="A16" s="6" t="s">
        <v>19</v>
      </c>
      <c r="B16" s="7">
        <v>196</v>
      </c>
      <c r="C16" s="8" t="s">
        <v>20</v>
      </c>
    </row>
    <row r="17" spans="1:4" x14ac:dyDescent="0.25">
      <c r="A17" s="6" t="s">
        <v>104</v>
      </c>
      <c r="B17" s="7">
        <v>3200</v>
      </c>
      <c r="C17" s="8" t="s">
        <v>21</v>
      </c>
    </row>
    <row r="18" spans="1:4" x14ac:dyDescent="0.25">
      <c r="A18" s="6" t="s">
        <v>22</v>
      </c>
      <c r="B18" s="7">
        <v>160</v>
      </c>
      <c r="C18" s="8" t="s">
        <v>21</v>
      </c>
    </row>
    <row r="20" spans="1:4" ht="18" customHeight="1" x14ac:dyDescent="0.25">
      <c r="A20" s="2" t="s">
        <v>23</v>
      </c>
      <c r="B20" s="2"/>
      <c r="C20" s="2"/>
      <c r="D20" s="2"/>
    </row>
    <row r="21" spans="1:4" x14ac:dyDescent="0.25">
      <c r="A21" s="5" t="s">
        <v>2</v>
      </c>
      <c r="B21" s="5" t="s">
        <v>3</v>
      </c>
      <c r="C21" s="5" t="s">
        <v>4</v>
      </c>
      <c r="D21" s="5" t="s">
        <v>5</v>
      </c>
    </row>
    <row r="22" spans="1:4" x14ac:dyDescent="0.25">
      <c r="A22" s="6" t="s">
        <v>24</v>
      </c>
      <c r="B22" s="7">
        <v>64</v>
      </c>
      <c r="C22" s="8" t="s">
        <v>25</v>
      </c>
    </row>
  </sheetData>
  <mergeCells count="5">
    <mergeCell ref="A1:D1"/>
    <mergeCell ref="A2:D2"/>
    <mergeCell ref="A4:D4"/>
    <mergeCell ref="A14:D14"/>
    <mergeCell ref="A20:D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pane ySplit="3" topLeftCell="A4" activePane="bottomLeft" state="frozen"/>
      <selection pane="bottomLeft" activeCell="B9" sqref="B9"/>
    </sheetView>
  </sheetViews>
  <sheetFormatPr defaultColWidth="8.625" defaultRowHeight="14.3" x14ac:dyDescent="0.25"/>
  <cols>
    <col min="1" max="1" width="34" customWidth="1"/>
    <col min="2" max="2" width="16" customWidth="1"/>
    <col min="3" max="3" width="14" customWidth="1"/>
    <col min="4" max="4" width="50" customWidth="1"/>
  </cols>
  <sheetData>
    <row r="1" spans="1:4" ht="25.5" customHeight="1" x14ac:dyDescent="0.25">
      <c r="A1" s="4" t="s">
        <v>26</v>
      </c>
      <c r="B1" s="4"/>
      <c r="C1" s="4"/>
      <c r="D1" s="4"/>
    </row>
    <row r="2" spans="1:4" x14ac:dyDescent="0.25">
      <c r="A2" s="3" t="s">
        <v>27</v>
      </c>
      <c r="B2" s="3"/>
      <c r="C2" s="3"/>
      <c r="D2" s="3"/>
    </row>
    <row r="4" spans="1:4" ht="18" customHeight="1" x14ac:dyDescent="0.25">
      <c r="A4" s="2" t="s">
        <v>28</v>
      </c>
      <c r="B4" s="2"/>
      <c r="C4" s="2"/>
      <c r="D4" s="2"/>
    </row>
    <row r="5" spans="1:4" x14ac:dyDescent="0.25">
      <c r="A5" s="5" t="s">
        <v>29</v>
      </c>
      <c r="B5" s="5" t="s">
        <v>3</v>
      </c>
      <c r="C5" s="5" t="s">
        <v>4</v>
      </c>
      <c r="D5" s="5" t="s">
        <v>30</v>
      </c>
    </row>
    <row r="6" spans="1:4" x14ac:dyDescent="0.25">
      <c r="A6" s="6" t="s">
        <v>31</v>
      </c>
      <c r="B6" s="9">
        <f>'User Inputs'!B6*'User Inputs'!B7</f>
        <v>1024</v>
      </c>
      <c r="C6" s="8" t="s">
        <v>32</v>
      </c>
    </row>
    <row r="7" spans="1:4" x14ac:dyDescent="0.25">
      <c r="A7" s="6" t="s">
        <v>33</v>
      </c>
      <c r="B7" s="9">
        <f>B6*'User Inputs'!B8</f>
        <v>131072</v>
      </c>
      <c r="C7" s="8" t="s">
        <v>32</v>
      </c>
    </row>
    <row r="8" spans="1:4" x14ac:dyDescent="0.25">
      <c r="A8" s="6" t="s">
        <v>34</v>
      </c>
      <c r="B8" s="9">
        <f>'User Inputs'!B7</f>
        <v>32</v>
      </c>
      <c r="C8" s="8" t="s">
        <v>35</v>
      </c>
    </row>
    <row r="9" spans="1:4" x14ac:dyDescent="0.25">
      <c r="A9" s="6" t="s">
        <v>36</v>
      </c>
      <c r="B9" s="9">
        <f>B8*'User Inputs'!B8</f>
        <v>4096</v>
      </c>
      <c r="C9" s="8" t="s">
        <v>35</v>
      </c>
    </row>
  </sheetData>
  <mergeCells count="3">
    <mergeCell ref="A1:D1"/>
    <mergeCell ref="A2:D2"/>
    <mergeCell ref="A4:D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zoomScaleNormal="100" workbookViewId="0">
      <pane ySplit="3" topLeftCell="A4" activePane="bottomLeft" state="frozen"/>
      <selection pane="bottomLeft" sqref="A1:D1"/>
    </sheetView>
  </sheetViews>
  <sheetFormatPr defaultColWidth="8.625" defaultRowHeight="14.3" x14ac:dyDescent="0.25"/>
  <cols>
    <col min="1" max="1" width="34" customWidth="1"/>
    <col min="2" max="2" width="16" customWidth="1"/>
    <col min="3" max="3" width="14" customWidth="1"/>
    <col min="4" max="4" width="50" customWidth="1"/>
  </cols>
  <sheetData>
    <row r="1" spans="1:4" ht="25.5" customHeight="1" x14ac:dyDescent="0.25">
      <c r="A1" s="4" t="s">
        <v>37</v>
      </c>
      <c r="B1" s="4"/>
      <c r="C1" s="4"/>
      <c r="D1" s="4"/>
    </row>
    <row r="2" spans="1:4" ht="25.5" customHeight="1" x14ac:dyDescent="0.25">
      <c r="A2" s="3" t="s">
        <v>38</v>
      </c>
      <c r="B2" s="3"/>
      <c r="C2" s="3"/>
      <c r="D2" s="3"/>
    </row>
    <row r="4" spans="1:4" ht="18" customHeight="1" x14ac:dyDescent="0.25">
      <c r="A4" s="2" t="s">
        <v>39</v>
      </c>
      <c r="B4" s="2"/>
      <c r="C4" s="2"/>
      <c r="D4" s="2"/>
    </row>
    <row r="5" spans="1:4" x14ac:dyDescent="0.25">
      <c r="A5" s="5" t="s">
        <v>29</v>
      </c>
      <c r="B5" s="5" t="s">
        <v>3</v>
      </c>
      <c r="C5" s="5" t="s">
        <v>4</v>
      </c>
      <c r="D5" s="5" t="s">
        <v>30</v>
      </c>
    </row>
    <row r="6" spans="1:4" x14ac:dyDescent="0.25">
      <c r="A6" s="6" t="s">
        <v>40</v>
      </c>
      <c r="B6" s="10">
        <f>CEILING('User Inputs'!B17/'User Inputs'!B6,1)</f>
        <v>100</v>
      </c>
      <c r="C6" s="8" t="s">
        <v>41</v>
      </c>
    </row>
    <row r="7" spans="1:4" x14ac:dyDescent="0.25">
      <c r="A7" s="6" t="s">
        <v>42</v>
      </c>
      <c r="B7" s="10">
        <f>CEILING('User Inputs'!B18/'User Inputs'!B7,1)</f>
        <v>5</v>
      </c>
      <c r="C7" s="8" t="s">
        <v>41</v>
      </c>
    </row>
    <row r="8" spans="1:4" x14ac:dyDescent="0.25">
      <c r="A8" s="6" t="s">
        <v>43</v>
      </c>
      <c r="B8" s="10">
        <f>B6*B7</f>
        <v>500</v>
      </c>
      <c r="C8" s="8" t="s">
        <v>41</v>
      </c>
    </row>
    <row r="9" spans="1:4" x14ac:dyDescent="0.25">
      <c r="A9" s="6" t="s">
        <v>44</v>
      </c>
      <c r="B9" s="10">
        <f>'User Inputs'!B8</f>
        <v>128</v>
      </c>
      <c r="C9" s="8" t="s">
        <v>11</v>
      </c>
    </row>
    <row r="10" spans="1:4" x14ac:dyDescent="0.25">
      <c r="A10" s="6" t="s">
        <v>45</v>
      </c>
      <c r="B10" s="10">
        <f>CEILING(B8/B9,1)</f>
        <v>4</v>
      </c>
      <c r="C10" s="8" t="s">
        <v>46</v>
      </c>
    </row>
    <row r="11" spans="1:4" x14ac:dyDescent="0.25">
      <c r="A11" s="6" t="s">
        <v>47</v>
      </c>
      <c r="B11" s="10">
        <f>B8/B10</f>
        <v>125</v>
      </c>
      <c r="C11" s="8" t="s">
        <v>11</v>
      </c>
    </row>
    <row r="13" spans="1:4" ht="18" customHeight="1" x14ac:dyDescent="0.25">
      <c r="A13" s="2" t="s">
        <v>48</v>
      </c>
      <c r="B13" s="2"/>
      <c r="C13" s="2"/>
      <c r="D13" s="2"/>
    </row>
    <row r="14" spans="1:4" x14ac:dyDescent="0.25">
      <c r="A14" s="5" t="s">
        <v>29</v>
      </c>
      <c r="B14" s="5" t="s">
        <v>3</v>
      </c>
      <c r="C14" s="5" t="s">
        <v>4</v>
      </c>
      <c r="D14" s="5" t="s">
        <v>30</v>
      </c>
    </row>
    <row r="15" spans="1:4" x14ac:dyDescent="0.25">
      <c r="A15" s="6" t="s">
        <v>49</v>
      </c>
      <c r="B15" s="9">
        <f>'User Inputs'!B16*'User Inputs'!B17*'User Inputs'!B18</f>
        <v>100352000</v>
      </c>
      <c r="C15" s="8" t="s">
        <v>50</v>
      </c>
    </row>
  </sheetData>
  <mergeCells count="4">
    <mergeCell ref="A1:D1"/>
    <mergeCell ref="A2:D2"/>
    <mergeCell ref="A4:D4"/>
    <mergeCell ref="A13:D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zoomScaleNormal="100" workbookViewId="0">
      <pane ySplit="3" topLeftCell="A4" activePane="bottomLeft" state="frozen"/>
      <selection pane="bottomLeft" activeCell="B22" sqref="B22"/>
    </sheetView>
  </sheetViews>
  <sheetFormatPr defaultColWidth="8.625" defaultRowHeight="14.3" x14ac:dyDescent="0.25"/>
  <cols>
    <col min="1" max="1" width="34" customWidth="1"/>
    <col min="2" max="2" width="16" customWidth="1"/>
    <col min="3" max="3" width="14" customWidth="1"/>
    <col min="4" max="4" width="50" customWidth="1"/>
  </cols>
  <sheetData>
    <row r="1" spans="1:4" ht="25.5" customHeight="1" x14ac:dyDescent="0.25">
      <c r="A1" s="4" t="s">
        <v>51</v>
      </c>
      <c r="B1" s="4"/>
      <c r="C1" s="4"/>
      <c r="D1" s="4"/>
    </row>
    <row r="2" spans="1:4" ht="25.5" customHeight="1" x14ac:dyDescent="0.25">
      <c r="A2" s="3" t="s">
        <v>52</v>
      </c>
      <c r="B2" s="3"/>
      <c r="C2" s="3"/>
      <c r="D2" s="3"/>
    </row>
    <row r="4" spans="1:4" ht="18" customHeight="1" x14ac:dyDescent="0.25">
      <c r="A4" s="2" t="s">
        <v>53</v>
      </c>
      <c r="B4" s="2"/>
      <c r="C4" s="2"/>
      <c r="D4" s="2"/>
    </row>
    <row r="5" spans="1:4" x14ac:dyDescent="0.25">
      <c r="A5" s="5" t="s">
        <v>29</v>
      </c>
      <c r="B5" s="5" t="s">
        <v>3</v>
      </c>
      <c r="C5" s="5" t="s">
        <v>4</v>
      </c>
      <c r="D5" s="5" t="s">
        <v>30</v>
      </c>
    </row>
    <row r="6" spans="1:4" x14ac:dyDescent="0.25">
      <c r="A6" s="6" t="s">
        <v>54</v>
      </c>
      <c r="B6" s="9">
        <f>'User Inputs'!B16</f>
        <v>196</v>
      </c>
      <c r="C6" s="8" t="s">
        <v>55</v>
      </c>
    </row>
    <row r="7" spans="1:4" x14ac:dyDescent="0.25">
      <c r="A7" s="6" t="s">
        <v>56</v>
      </c>
      <c r="B7" s="9">
        <f>'Workload Mapping'!B10*B6</f>
        <v>784</v>
      </c>
      <c r="C7" s="8" t="s">
        <v>55</v>
      </c>
    </row>
    <row r="9" spans="1:4" ht="18" customHeight="1" x14ac:dyDescent="0.25">
      <c r="A9" s="2" t="s">
        <v>57</v>
      </c>
      <c r="B9" s="2"/>
      <c r="C9" s="2"/>
      <c r="D9" s="2"/>
    </row>
    <row r="10" spans="1:4" x14ac:dyDescent="0.25">
      <c r="A10" s="5" t="s">
        <v>29</v>
      </c>
      <c r="B10" s="5" t="s">
        <v>3</v>
      </c>
      <c r="C10" s="5" t="s">
        <v>4</v>
      </c>
      <c r="D10" s="5" t="s">
        <v>30</v>
      </c>
    </row>
    <row r="11" spans="1:4" x14ac:dyDescent="0.25">
      <c r="A11" s="6" t="s">
        <v>58</v>
      </c>
      <c r="B11" s="11">
        <f>B7/('User Inputs'!B12*1000000)</f>
        <v>1.5680000000000001E-6</v>
      </c>
      <c r="C11" s="8" t="s">
        <v>59</v>
      </c>
    </row>
    <row r="12" spans="1:4" x14ac:dyDescent="0.25">
      <c r="A12" s="6" t="s">
        <v>58</v>
      </c>
      <c r="B12" s="12">
        <f>B11*1000</f>
        <v>1.5680000000000002E-3</v>
      </c>
      <c r="C12" s="8" t="s">
        <v>60</v>
      </c>
    </row>
    <row r="13" spans="1:4" x14ac:dyDescent="0.25">
      <c r="A13" s="6" t="s">
        <v>61</v>
      </c>
      <c r="B13" s="13">
        <f>'Workload Mapping'!B15/B11</f>
        <v>64000000000000</v>
      </c>
      <c r="C13" s="8" t="s">
        <v>62</v>
      </c>
    </row>
    <row r="14" spans="1:4" x14ac:dyDescent="0.25">
      <c r="A14" s="6" t="s">
        <v>61</v>
      </c>
      <c r="B14" s="13">
        <f>B13*2</f>
        <v>128000000000000</v>
      </c>
      <c r="C14" s="8" t="s">
        <v>63</v>
      </c>
    </row>
    <row r="15" spans="1:4" x14ac:dyDescent="0.25">
      <c r="A15" s="6" t="s">
        <v>61</v>
      </c>
      <c r="B15" s="14">
        <f>B14/1000000000000</f>
        <v>128</v>
      </c>
      <c r="C15" s="8" t="s">
        <v>64</v>
      </c>
    </row>
    <row r="17" spans="1:4" ht="18" customHeight="1" x14ac:dyDescent="0.25">
      <c r="A17" s="2" t="s">
        <v>65</v>
      </c>
      <c r="B17" s="2"/>
      <c r="C17" s="2"/>
      <c r="D17" s="2"/>
    </row>
    <row r="18" spans="1:4" x14ac:dyDescent="0.25">
      <c r="A18" s="5" t="s">
        <v>29</v>
      </c>
      <c r="B18" s="5" t="s">
        <v>3</v>
      </c>
      <c r="C18" s="5" t="s">
        <v>4</v>
      </c>
      <c r="D18" s="5" t="s">
        <v>30</v>
      </c>
    </row>
    <row r="19" spans="1:4" x14ac:dyDescent="0.25">
      <c r="A19" s="6" t="s">
        <v>65</v>
      </c>
      <c r="B19" s="15">
        <f>'Workload Mapping'!B11/'Workload Mapping'!B9</f>
        <v>0.9765625</v>
      </c>
      <c r="C19" s="8" t="s">
        <v>66</v>
      </c>
    </row>
    <row r="21" spans="1:4" ht="18" customHeight="1" x14ac:dyDescent="0.25">
      <c r="A21" s="2" t="s">
        <v>67</v>
      </c>
      <c r="B21" s="2"/>
      <c r="C21" s="2"/>
      <c r="D21" s="2"/>
    </row>
    <row r="22" spans="1:4" x14ac:dyDescent="0.25">
      <c r="A22" s="5" t="s">
        <v>29</v>
      </c>
      <c r="B22" s="5" t="s">
        <v>3</v>
      </c>
      <c r="C22" s="5" t="s">
        <v>4</v>
      </c>
      <c r="D22" s="5" t="s">
        <v>30</v>
      </c>
    </row>
    <row r="23" spans="1:4" x14ac:dyDescent="0.25">
      <c r="A23" s="6" t="s">
        <v>68</v>
      </c>
      <c r="B23" s="9">
        <f>'User Inputs'!B10+'User Inputs'!B11+ROUNDUP(LOG('User Inputs'!B6,2),0)</f>
        <v>17</v>
      </c>
      <c r="C23" s="8" t="s">
        <v>13</v>
      </c>
    </row>
    <row r="24" spans="1:4" x14ac:dyDescent="0.25">
      <c r="A24" s="6" t="s">
        <v>69</v>
      </c>
      <c r="B24" s="14">
        <f>'User Inputs'!B16*'User Inputs'!B18*B23/8/1024</f>
        <v>65.078125</v>
      </c>
      <c r="C24" s="8" t="s">
        <v>25</v>
      </c>
    </row>
    <row r="25" spans="1:4" x14ac:dyDescent="0.25">
      <c r="A25" s="6" t="s">
        <v>70</v>
      </c>
      <c r="B25" s="10">
        <f>'User Inputs'!B22</f>
        <v>64</v>
      </c>
      <c r="C25" s="8" t="s">
        <v>25</v>
      </c>
    </row>
    <row r="26" spans="1:4" x14ac:dyDescent="0.25">
      <c r="A26" s="6" t="s">
        <v>71</v>
      </c>
      <c r="B26" s="16" t="str">
        <f>IF(B24&lt;=B25,"Fits","Overflow")</f>
        <v>Overflow</v>
      </c>
      <c r="C26" s="8"/>
    </row>
  </sheetData>
  <mergeCells count="6">
    <mergeCell ref="A21:D21"/>
    <mergeCell ref="A1:D1"/>
    <mergeCell ref="A2:D2"/>
    <mergeCell ref="A4:D4"/>
    <mergeCell ref="A9:D9"/>
    <mergeCell ref="A17:D1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zoomScaleNormal="100" workbookViewId="0">
      <selection activeCell="A22" sqref="A22"/>
    </sheetView>
  </sheetViews>
  <sheetFormatPr defaultColWidth="8.625" defaultRowHeight="14.3" x14ac:dyDescent="0.25"/>
  <cols>
    <col min="1" max="1" width="28" customWidth="1"/>
    <col min="2" max="2" width="22" customWidth="1"/>
    <col min="3" max="3" width="28" customWidth="1"/>
    <col min="4" max="4" width="22" customWidth="1"/>
  </cols>
  <sheetData>
    <row r="1" spans="1:4" ht="25.5" customHeight="1" x14ac:dyDescent="0.25">
      <c r="A1" s="4" t="s">
        <v>72</v>
      </c>
      <c r="B1" s="4"/>
      <c r="C1" s="4"/>
      <c r="D1" s="4"/>
    </row>
    <row r="2" spans="1:4" x14ac:dyDescent="0.25">
      <c r="A2" s="3" t="s">
        <v>73</v>
      </c>
      <c r="B2" s="3"/>
      <c r="C2" s="3"/>
      <c r="D2" s="3"/>
    </row>
    <row r="4" spans="1:4" ht="19.55" customHeight="1" x14ac:dyDescent="0.25">
      <c r="A4" s="2" t="s">
        <v>74</v>
      </c>
      <c r="B4" s="2"/>
      <c r="C4" s="2"/>
      <c r="D4" s="2"/>
    </row>
    <row r="5" spans="1:4" ht="19.55" customHeight="1" x14ac:dyDescent="0.25">
      <c r="A5" s="17" t="s">
        <v>75</v>
      </c>
      <c r="B5" s="17" t="s">
        <v>76</v>
      </c>
      <c r="C5" s="17" t="s">
        <v>77</v>
      </c>
      <c r="D5" s="17" t="s">
        <v>78</v>
      </c>
    </row>
    <row r="6" spans="1:4" ht="19.55" customHeight="1" x14ac:dyDescent="0.25">
      <c r="A6" s="18" t="str">
        <f>'User Inputs'!B6&amp;" x "&amp;'User Inputs'!B7</f>
        <v>32 x 32</v>
      </c>
      <c r="B6" s="19">
        <f>'User Inputs'!B8</f>
        <v>128</v>
      </c>
      <c r="C6" s="19">
        <f>'Derived Hardware Parameters'!B7</f>
        <v>131072</v>
      </c>
      <c r="D6" s="19">
        <f>'Derived Hardware Parameters'!B9</f>
        <v>4096</v>
      </c>
    </row>
    <row r="7" spans="1:4" ht="19.55" customHeight="1" x14ac:dyDescent="0.25">
      <c r="B7" s="20" t="s">
        <v>11</v>
      </c>
      <c r="C7" s="20" t="s">
        <v>32</v>
      </c>
      <c r="D7" s="20" t="s">
        <v>35</v>
      </c>
    </row>
    <row r="8" spans="1:4" ht="19.55" customHeight="1" x14ac:dyDescent="0.25">
      <c r="A8" s="2" t="s">
        <v>79</v>
      </c>
      <c r="B8" s="2"/>
      <c r="C8" s="2"/>
      <c r="D8" s="2"/>
    </row>
    <row r="9" spans="1:4" ht="19.55" customHeight="1" x14ac:dyDescent="0.25">
      <c r="A9" s="17" t="s">
        <v>80</v>
      </c>
      <c r="B9" s="17" t="s">
        <v>81</v>
      </c>
      <c r="C9" s="17" t="s">
        <v>82</v>
      </c>
    </row>
    <row r="10" spans="1:4" ht="19.55" customHeight="1" x14ac:dyDescent="0.25">
      <c r="A10" s="21" t="str">
        <f>'User Inputs'!B16&amp;" x "&amp;'User Inputs'!B17&amp;" x "&amp;'User Inputs'!B18</f>
        <v>196 x 3200 x 160</v>
      </c>
      <c r="B10" s="19">
        <f>'Workload Mapping'!B8</f>
        <v>500</v>
      </c>
      <c r="C10" s="19">
        <f>'Workload Mapping'!B10</f>
        <v>4</v>
      </c>
    </row>
    <row r="11" spans="1:4" ht="19.55" customHeight="1" x14ac:dyDescent="0.25">
      <c r="B11" s="20" t="s">
        <v>41</v>
      </c>
      <c r="C11" s="20" t="s">
        <v>46</v>
      </c>
    </row>
    <row r="12" spans="1:4" ht="19.55" customHeight="1" x14ac:dyDescent="0.25">
      <c r="A12" s="2" t="s">
        <v>83</v>
      </c>
      <c r="B12" s="2"/>
      <c r="C12" s="2"/>
      <c r="D12" s="2"/>
    </row>
    <row r="13" spans="1:4" ht="19.55" customHeight="1" x14ac:dyDescent="0.25">
      <c r="A13" s="17" t="s">
        <v>84</v>
      </c>
      <c r="B13" s="17" t="s">
        <v>85</v>
      </c>
      <c r="C13" s="17" t="s">
        <v>86</v>
      </c>
    </row>
    <row r="14" spans="1:4" ht="19.55" customHeight="1" x14ac:dyDescent="0.25">
      <c r="A14" s="19">
        <f>'Performance Estimation'!B7</f>
        <v>784</v>
      </c>
      <c r="B14" s="22">
        <f>'Performance Estimation'!B12</f>
        <v>1.5680000000000002E-3</v>
      </c>
      <c r="C14" s="23">
        <f>'Performance Estimation'!B15</f>
        <v>128</v>
      </c>
    </row>
    <row r="15" spans="1:4" ht="19.55" customHeight="1" x14ac:dyDescent="0.25">
      <c r="A15" s="20" t="s">
        <v>55</v>
      </c>
      <c r="B15" s="20" t="s">
        <v>60</v>
      </c>
      <c r="C15" s="20" t="s">
        <v>64</v>
      </c>
    </row>
    <row r="16" spans="1:4" ht="19.55" customHeight="1" x14ac:dyDescent="0.25">
      <c r="A16" s="2" t="s">
        <v>87</v>
      </c>
      <c r="B16" s="2"/>
      <c r="C16" s="2"/>
      <c r="D16" s="2"/>
    </row>
    <row r="17" spans="1:4" ht="19.55" customHeight="1" x14ac:dyDescent="0.25">
      <c r="A17" s="17" t="s">
        <v>88</v>
      </c>
      <c r="B17" s="17" t="s">
        <v>89</v>
      </c>
      <c r="C17" s="17" t="s">
        <v>71</v>
      </c>
    </row>
    <row r="18" spans="1:4" ht="19.55" customHeight="1" x14ac:dyDescent="0.25">
      <c r="A18" s="23">
        <f>'Performance Estimation'!B24</f>
        <v>65.078125</v>
      </c>
      <c r="B18" s="23">
        <f>'Performance Estimation'!B25</f>
        <v>64</v>
      </c>
      <c r="C18" s="24" t="str">
        <f>IF('Performance Estimation'!B26="Fits","✓ Fits","❌ Overflow")</f>
        <v>❌ Overflow</v>
      </c>
    </row>
    <row r="19" spans="1:4" ht="19.55" customHeight="1" x14ac:dyDescent="0.25">
      <c r="A19" s="20" t="s">
        <v>25</v>
      </c>
      <c r="B19" s="20" t="s">
        <v>25</v>
      </c>
    </row>
    <row r="20" spans="1:4" ht="19.55" customHeight="1" x14ac:dyDescent="0.25">
      <c r="A20" s="2" t="s">
        <v>90</v>
      </c>
      <c r="B20" s="2"/>
      <c r="C20" s="2"/>
      <c r="D20" s="2"/>
    </row>
    <row r="21" spans="1:4" ht="19.55" customHeight="1" x14ac:dyDescent="0.25">
      <c r="A21" s="17" t="s">
        <v>65</v>
      </c>
    </row>
    <row r="22" spans="1:4" ht="19.55" customHeight="1" x14ac:dyDescent="0.25">
      <c r="A22" s="25">
        <f>'Performance Estimation'!B19</f>
        <v>0.9765625</v>
      </c>
    </row>
    <row r="23" spans="1:4" ht="19.55" customHeight="1" x14ac:dyDescent="0.25"/>
    <row r="24" spans="1:4" ht="39.75" customHeight="1" x14ac:dyDescent="0.25">
      <c r="A24" s="1" t="s">
        <v>91</v>
      </c>
      <c r="B24" s="1"/>
      <c r="C24" s="1"/>
      <c r="D24" s="1"/>
    </row>
  </sheetData>
  <mergeCells count="8">
    <mergeCell ref="A16:D16"/>
    <mergeCell ref="A20:D20"/>
    <mergeCell ref="A24:D24"/>
    <mergeCell ref="A1:D1"/>
    <mergeCell ref="A2:D2"/>
    <mergeCell ref="A4:D4"/>
    <mergeCell ref="A8:D8"/>
    <mergeCell ref="A12:D12"/>
  </mergeCells>
  <conditionalFormatting sqref="C18">
    <cfRule type="expression" dxfId="1" priority="2">
      <formula>ISNUMBER(SEARCH("Overflow",C18))</formula>
    </cfRule>
    <cfRule type="expression" dxfId="0" priority="3">
      <formula>ISNUMBER(SEARCH("Fits",C18))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zoomScaleNormal="100" workbookViewId="0">
      <pane ySplit="3" topLeftCell="A4" activePane="bottomLeft" state="frozen"/>
      <selection pane="bottomLeft" activeCell="B14" sqref="B14"/>
    </sheetView>
  </sheetViews>
  <sheetFormatPr defaultColWidth="8.625" defaultRowHeight="14.3" x14ac:dyDescent="0.25"/>
  <cols>
    <col min="1" max="1" width="6" customWidth="1"/>
    <col min="2" max="2" width="95" customWidth="1"/>
  </cols>
  <sheetData>
    <row r="1" spans="1:2" ht="25.5" customHeight="1" x14ac:dyDescent="0.25">
      <c r="A1" s="4" t="s">
        <v>92</v>
      </c>
      <c r="B1" s="4"/>
    </row>
    <row r="2" spans="1:2" ht="27.7" customHeight="1" x14ac:dyDescent="0.25">
      <c r="A2" s="1" t="s">
        <v>93</v>
      </c>
      <c r="B2" s="1"/>
    </row>
    <row r="4" spans="1:2" x14ac:dyDescent="0.25">
      <c r="A4" s="5" t="s">
        <v>94</v>
      </c>
      <c r="B4" s="5" t="s">
        <v>95</v>
      </c>
    </row>
    <row r="5" spans="1:2" ht="30.1" customHeight="1" x14ac:dyDescent="0.25">
      <c r="A5" s="26">
        <v>1</v>
      </c>
      <c r="B5" s="27" t="s">
        <v>96</v>
      </c>
    </row>
    <row r="6" spans="1:2" ht="30.1" customHeight="1" x14ac:dyDescent="0.25">
      <c r="A6" s="26">
        <v>2</v>
      </c>
      <c r="B6" s="27" t="s">
        <v>97</v>
      </c>
    </row>
    <row r="7" spans="1:2" ht="30.1" customHeight="1" x14ac:dyDescent="0.25">
      <c r="A7" s="26">
        <v>3</v>
      </c>
      <c r="B7" s="27" t="s">
        <v>106</v>
      </c>
    </row>
    <row r="8" spans="1:2" ht="30.1" customHeight="1" x14ac:dyDescent="0.25">
      <c r="A8" s="26">
        <v>4</v>
      </c>
      <c r="B8" s="27" t="s">
        <v>98</v>
      </c>
    </row>
    <row r="9" spans="1:2" ht="30.1" customHeight="1" x14ac:dyDescent="0.25">
      <c r="A9" s="26">
        <v>6</v>
      </c>
      <c r="B9" s="27" t="s">
        <v>99</v>
      </c>
    </row>
    <row r="10" spans="1:2" ht="30.1" customHeight="1" x14ac:dyDescent="0.25">
      <c r="A10" s="26">
        <v>8</v>
      </c>
      <c r="B10" s="27" t="s">
        <v>100</v>
      </c>
    </row>
    <row r="11" spans="1:2" ht="30.1" customHeight="1" x14ac:dyDescent="0.25">
      <c r="A11" s="26">
        <v>9</v>
      </c>
      <c r="B11" s="27" t="s">
        <v>105</v>
      </c>
    </row>
    <row r="12" spans="1:2" ht="30.1" customHeight="1" x14ac:dyDescent="0.25">
      <c r="A12" s="26">
        <v>10</v>
      </c>
      <c r="B12" s="27" t="s">
        <v>101</v>
      </c>
    </row>
    <row r="13" spans="1:2" ht="30.1" customHeight="1" x14ac:dyDescent="0.25">
      <c r="A13" s="26">
        <v>11</v>
      </c>
      <c r="B13" s="27" t="s">
        <v>107</v>
      </c>
    </row>
    <row r="14" spans="1:2" ht="30.1" customHeight="1" x14ac:dyDescent="0.25">
      <c r="A14" s="26">
        <v>12</v>
      </c>
      <c r="B14" s="27" t="s">
        <v>108</v>
      </c>
    </row>
    <row r="15" spans="1:2" ht="30.1" customHeight="1" x14ac:dyDescent="0.25">
      <c r="A15" s="26">
        <v>13</v>
      </c>
      <c r="B15" s="27" t="s">
        <v>102</v>
      </c>
    </row>
    <row r="16" spans="1:2" ht="30.1" customHeight="1" x14ac:dyDescent="0.25">
      <c r="A16" s="26">
        <v>18</v>
      </c>
      <c r="B16" s="27" t="s">
        <v>109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Inputs</vt:lpstr>
      <vt:lpstr>Derived Hardware Parameters</vt:lpstr>
      <vt:lpstr>Workload Mapping</vt:lpstr>
      <vt:lpstr>Performance Estimation</vt:lpstr>
      <vt:lpstr>Summary Dashboard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Govind p nair</cp:lastModifiedBy>
  <cp:revision>0</cp:revision>
  <dcterms:created xsi:type="dcterms:W3CDTF">2026-08-11T03:34:10Z</dcterms:created>
  <dcterms:modified xsi:type="dcterms:W3CDTF">2026-08-12T03:32:02Z</dcterms:modified>
  <dc:language>en-US</dc:language>
</cp:coreProperties>
</file>