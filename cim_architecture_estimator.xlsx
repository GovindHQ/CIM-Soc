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 Inputs" sheetId="1" state="visible" r:id="rId3"/>
    <sheet name="Derived Hardware Parameters" sheetId="2" state="visible" r:id="rId4"/>
    <sheet name="Workload Mapping" sheetId="3" state="visible" r:id="rId5"/>
    <sheet name="Performance Estimation" sheetId="4" state="visible" r:id="rId6"/>
    <sheet name="Summary Dashboard" sheetId="5" state="visible" r:id="rId7"/>
    <sheet name="Assump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e.g. 32 for a 32x32 array. Maps to the contraction (K) dimension per tile.</t>
        </r>
      </text>
    </comment>
    <comment ref="B7" authorId="0">
      <text>
        <r>
          <rPr>
            <sz val="10"/>
            <rFont val="Arial"/>
            <family val="2"/>
          </rPr>
          <t xml:space="preserve">e.g. 32 for a 32x32 array. Maps to the output (N) dimension per tile.</t>
        </r>
      </text>
    </comment>
    <comment ref="B8" authorId="0">
      <text>
        <r>
          <rPr>
            <sz val="10"/>
            <rFont val="Arial"/>
            <family val="2"/>
          </rPr>
          <t xml:space="preserve">Total independently-operable analog CIM array instances in the accelerator.</t>
        </r>
      </text>
    </comment>
    <comment ref="B9" authorId="0">
      <text>
        <r>
          <rPr>
            <sz val="10"/>
            <rFont val="Arial"/>
            <family val="2"/>
          </rPr>
          <t xml:space="preserve">Bits per ADC conversion (per column readout).</t>
        </r>
      </text>
    </comment>
    <comment ref="B10" authorId="0">
      <text>
        <r>
          <rPr>
            <sz val="10"/>
            <rFont val="Arial"/>
            <family val="2"/>
          </rPr>
          <t xml:space="preserve">Bit-width of stored weights (e.g. INT4).</t>
        </r>
      </text>
    </comment>
    <comment ref="B11" authorId="0">
      <text>
        <r>
          <rPr>
            <sz val="10"/>
            <rFont val="Arial"/>
            <family val="2"/>
          </rPr>
          <t xml:space="preserve">Bit-width of input activations fed into the array.</t>
        </r>
      </text>
    </comment>
    <comment ref="B12" authorId="0">
      <text>
        <r>
          <rPr>
            <sz val="10"/>
            <rFont val="Arial"/>
            <family val="2"/>
          </rPr>
          <t xml:space="preserve">Macro-level operating clock frequency.</t>
        </r>
      </text>
    </comment>
    <comment ref="B16" authorId="0">
      <text>
        <r>
          <rPr>
            <sz val="10"/>
            <rFont val="Arial"/>
            <family val="2"/>
          </rPr>
          <t xml:space="preserve">e.g. number of input tokens / spatial positions streamed through the array.</t>
        </r>
      </text>
    </comment>
    <comment ref="B17" authorId="0">
      <text>
        <r>
          <rPr>
            <sz val="10"/>
            <rFont val="Arial"/>
            <family val="2"/>
          </rPr>
          <t xml:space="preserve">Shared inner dimension between activations (MxK) and weights (KxN).</t>
        </r>
      </text>
    </comment>
    <comment ref="B18" authorId="0">
      <text>
        <r>
          <rPr>
            <sz val="10"/>
            <rFont val="Arial"/>
            <family val="2"/>
          </rPr>
          <t xml:space="preserve">Output feature dimension.</t>
        </r>
      </text>
    </comment>
    <comment ref="B22" authorId="0">
      <text>
        <r>
          <rPr>
            <sz val="10"/>
            <rFont val="Arial"/>
            <family val="2"/>
          </rPr>
          <t xml:space="preserve">Available on-chip partial-sum accumulator memory capacity.</t>
        </r>
      </text>
    </comment>
    <comment ref="B23" authorId="0">
      <text>
        <r>
          <rPr>
            <sz val="10"/>
            <rFont val="Arial"/>
            <family val="2"/>
          </rPr>
          <t xml:space="preserve">Cycles for one ADC conversion (pipeline depth of the ADC readout path).</t>
        </r>
      </text>
    </comment>
    <comment ref="B24" authorId="0">
      <text>
        <r>
          <rPr>
            <sz val="10"/>
            <rFont val="Arial"/>
            <family val="2"/>
          </rPr>
          <t xml:space="preserve">0 or blank = no pipelining assumed (ADC latency applied every cycle). &gt;0 spreads ADC latency across stages, reducing the effective initiation interval.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Array Rows x Array Cols (assumption: a 32x32 array = 1024 PEs).</t>
        </r>
      </text>
    </comment>
    <comment ref="A8" authorId="0">
      <text>
        <r>
          <rPr>
            <sz val="10"/>
            <rFont val="Arial"/>
            <family val="2"/>
          </rPr>
          <t xml:space="preserve">Assumption: one ADC per column of the array.</t>
        </r>
      </text>
    </comment>
    <comment ref="A13" authorId="0">
      <text>
        <r>
          <rPr>
            <sz val="10"/>
            <rFont val="Arial"/>
            <family val="2"/>
          </rPr>
          <t xml:space="preserve">Cycles between successive input rows being accepted. If pipeline stages &gt; 0, ADC latency is spread across stages (rounded up); otherwise the full ADC latency is charged per row.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K is tiled by the array's row dimension (weight-stationary: K maps to array rows).</t>
        </r>
      </text>
    </comment>
    <comment ref="A7" authorId="0">
      <text>
        <r>
          <rPr>
            <sz val="10"/>
            <rFont val="Arial"/>
            <family val="2"/>
          </rPr>
          <t xml:space="preserve">N is tiled by the array's column dimension.</t>
        </r>
      </text>
    </comment>
    <comment ref="A8" authorId="0">
      <text>
        <r>
          <rPr>
            <sz val="10"/>
            <rFont val="Arial"/>
            <family val="2"/>
          </rPr>
          <t xml:space="preserve">Total (K,N) tile pairs needed to cover the full weight matrix. Each tile = one array's worth of weights.</t>
        </r>
      </text>
    </comment>
    <comment ref="A10" authorId="0">
      <text>
        <r>
          <rPr>
            <sz val="10"/>
            <rFont val="Arial"/>
            <family val="2"/>
          </rPr>
          <t xml:space="preserve">Assumption: arrays execute tiles in parallel; Batches = CEILING(Tiles / Arrays). Tiles that don't fit in one round are processed in a subsequent batch.</t>
        </r>
      </text>
    </comment>
    <comment ref="A14" authorId="0">
      <text>
        <r>
          <rPr>
            <sz val="10"/>
            <rFont val="Arial"/>
            <family val="2"/>
          </rPr>
          <t xml:space="preserve">M x K x N — one MAC per output element per contraction step.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Classic pipeline latency: (M-1) x Initiation Interval + ADC latency (fill + drain), assuming activations for a tile are streamed one row per II cycles across arrays operating in parallel.</t>
        </r>
      </text>
    </comment>
    <comment ref="A7" authorId="0">
      <text>
        <r>
          <rPr>
            <sz val="10"/>
            <rFont val="Arial"/>
            <family val="2"/>
          </rPr>
          <t xml:space="preserve">Batches are executed sequentially; tiles within a batch run in parallel across arrays.</t>
        </r>
      </text>
    </comment>
    <comment ref="A13" authorId="0">
      <text>
        <r>
          <rPr>
            <sz val="10"/>
            <rFont val="Arial"/>
            <family val="2"/>
          </rPr>
          <t xml:space="preserve">Total MACs / total latency.</t>
        </r>
      </text>
    </comment>
    <comment ref="A14" authorId="0">
      <text>
        <r>
          <rPr>
            <sz val="10"/>
            <rFont val="Arial"/>
            <family val="2"/>
          </rPr>
          <t xml:space="preserve">Assumption: 1 MAC = 2 operations (1 multiply + 1 add).</t>
        </r>
      </text>
    </comment>
    <comment ref="A19" authorId="0">
      <text>
        <r>
          <rPr>
            <sz val="10"/>
            <rFont val="Arial"/>
            <family val="2"/>
          </rPr>
          <t xml:space="preserve">Useful MACs performed / (Total PEs x Total cycles) — fraction of total PE-cycle capacity doing real work.</t>
        </r>
      </text>
    </comment>
    <comment ref="A20" authorId="0">
      <text>
        <r>
          <rPr>
            <sz val="10"/>
            <rFont val="Arial"/>
            <family val="2"/>
          </rPr>
          <t xml:space="preserve">Tiles actually needed / (Batches x Arrays) — fraction of array-slots used (a partially-filled final batch lowers this).</t>
        </r>
      </text>
    </comment>
    <comment ref="A24" authorId="0">
      <text>
        <r>
          <rPr>
            <sz val="10"/>
            <rFont val="Arial"/>
            <family val="2"/>
          </rPr>
          <t xml:space="preserve">Assumption: accumulator width = weight bits + activation bits + log2(array rows), to bound worst-case growth from summing K partial products.</t>
        </r>
      </text>
    </comment>
    <comment ref="A25" authorId="0">
      <text>
        <r>
          <rPr>
            <sz val="10"/>
            <rFont val="Arial"/>
            <family val="2"/>
          </rPr>
          <t xml:space="preserve">M x N output elements x accumulator width, converted to KB. Assumes the full output tile is resident before write-back.</t>
        </r>
      </text>
    </comment>
    <comment ref="A26" authorId="0">
      <text>
        <r>
          <rPr>
            <sz val="10"/>
            <rFont val="Arial"/>
            <family val="2"/>
          </rPr>
          <t xml:space="preserve">Required PSUM storage / configured PSUM capacity. &gt;100% means the configured PSUM memory is undersized for this workload.</t>
        </r>
      </text>
    </comment>
  </commentList>
</comments>
</file>

<file path=xl/sharedStrings.xml><?xml version="1.0" encoding="utf-8"?>
<sst xmlns="http://schemas.openxmlformats.org/spreadsheetml/2006/main" count="184" uniqueCount="117">
  <si>
    <t xml:space="preserve">CIM Architecture Estimator — User Inputs</t>
  </si>
  <si>
    <t xml:space="preserve">Edit only the yellow cells below (blue text = editable input). All other sheets compute automatically from these values.</t>
  </si>
  <si>
    <t xml:space="preserve">Array &amp; System Configuration</t>
  </si>
  <si>
    <t xml:space="preserve">Parameter</t>
  </si>
  <si>
    <t xml:space="preserve">Value</t>
  </si>
  <si>
    <t xml:space="preserve">Unit</t>
  </si>
  <si>
    <t xml:space="preserve">Notes</t>
  </si>
  <si>
    <t xml:space="preserve">Array Size — Rows</t>
  </si>
  <si>
    <t xml:space="preserve">rows</t>
  </si>
  <si>
    <t xml:space="preserve">Array Size — Cols</t>
  </si>
  <si>
    <t xml:space="preserve">cols</t>
  </si>
  <si>
    <t xml:space="preserve">Number of CIM Arrays / Macros</t>
  </si>
  <si>
    <t xml:space="preserve">arrays</t>
  </si>
  <si>
    <t xml:space="preserve">ADC Resolution</t>
  </si>
  <si>
    <t xml:space="preserve">bits</t>
  </si>
  <si>
    <t xml:space="preserve">Weight Precision</t>
  </si>
  <si>
    <t xml:space="preserve">Activation Precision</t>
  </si>
  <si>
    <t xml:space="preserve">Clock Frequency</t>
  </si>
  <si>
    <t xml:space="preserve">MHz</t>
  </si>
  <si>
    <t xml:space="preserve">Workload — Matrix Dimensions (M x K) . (K x N)</t>
  </si>
  <si>
    <t xml:space="preserve">Matrix Dimension M (rows of activation matrix)</t>
  </si>
  <si>
    <t xml:space="preserve">tokens</t>
  </si>
  <si>
    <t xml:space="preserve">Matrix Dimension K (contraction dim)</t>
  </si>
  <si>
    <t xml:space="preserve">elements</t>
  </si>
  <si>
    <t xml:space="preserve">Matrix Dimension N (cols of weight matrix)</t>
  </si>
  <si>
    <t xml:space="preserve">Memory &amp; Pipeline Configuration</t>
  </si>
  <si>
    <t xml:space="preserve">PSUM Memory Size (capacity)</t>
  </si>
  <si>
    <t xml:space="preserve">KB</t>
  </si>
  <si>
    <t xml:space="preserve">ADC Conversion Latency</t>
  </si>
  <si>
    <t xml:space="preserve">cycles</t>
  </si>
  <si>
    <t xml:space="preserve">Number of Pipeline Stages (optional)</t>
  </si>
  <si>
    <t xml:space="preserve">stages</t>
  </si>
  <si>
    <t xml:space="preserve">Derived Hardware Parameters</t>
  </si>
  <si>
    <t xml:space="preserve">All cells below are computed with formulas from 'User Inputs'. No manual edits needed.</t>
  </si>
  <si>
    <t xml:space="preserve">Processing Elements &amp; ADCs</t>
  </si>
  <si>
    <t xml:space="preserve">Metric</t>
  </si>
  <si>
    <t xml:space="preserve">Formula / Notes</t>
  </si>
  <si>
    <t xml:space="preserve">PEs per Array</t>
  </si>
  <si>
    <t xml:space="preserve">PEs</t>
  </si>
  <si>
    <t xml:space="preserve">Total Number of PEs</t>
  </si>
  <si>
    <t xml:space="preserve">Number of ADCs per Array</t>
  </si>
  <si>
    <t xml:space="preserve">ADCs</t>
  </si>
  <si>
    <t xml:space="preserve">Total Number of ADCs</t>
  </si>
  <si>
    <t xml:space="preserve">Derived Timing Parameters</t>
  </si>
  <si>
    <t xml:space="preserve">Effective Initiation Interval (II)</t>
  </si>
  <si>
    <t xml:space="preserve">cycles/row</t>
  </si>
  <si>
    <t xml:space="preserve">Clock Period</t>
  </si>
  <si>
    <t xml:space="preserve">s</t>
  </si>
  <si>
    <t xml:space="preserve">Workload Mapping</t>
  </si>
  <si>
    <t xml:space="preserve">Maps the (M x K) . (K x N) matrix multiplication onto the array grid.</t>
  </si>
  <si>
    <t xml:space="preserve">Tiling</t>
  </si>
  <si>
    <t xml:space="preserve">Tiles along K (contraction dim)</t>
  </si>
  <si>
    <t xml:space="preserve">tiles</t>
  </si>
  <si>
    <t xml:space="preserve">Tiles along N (output dim)</t>
  </si>
  <si>
    <t xml:space="preserve">Total Number of Tiles</t>
  </si>
  <si>
    <t xml:space="preserve">Number of Arrays Available</t>
  </si>
  <si>
    <t xml:space="preserve">Number of Batches Required</t>
  </si>
  <si>
    <t xml:space="preserve">batches</t>
  </si>
  <si>
    <t xml:space="preserve">Compute Volume</t>
  </si>
  <si>
    <t xml:space="preserve">Total MAC Operations</t>
  </si>
  <si>
    <t xml:space="preserve">MACs</t>
  </si>
  <si>
    <t xml:space="preserve">Performance Estimation</t>
  </si>
  <si>
    <t xml:space="preserve">Architectural (not device-physics) estimate of cycles, latency, throughput and utilization.</t>
  </si>
  <si>
    <t xml:space="preserve">Cycle Estimation</t>
  </si>
  <si>
    <t xml:space="preserve">Cycles per Tile Pass (all M rows through one tile set)</t>
  </si>
  <si>
    <t xml:space="preserve">Total Estimated Execution Cycles</t>
  </si>
  <si>
    <t xml:space="preserve">Latency &amp; Throughput</t>
  </si>
  <si>
    <t xml:space="preserve">Estimated Latency</t>
  </si>
  <si>
    <t xml:space="preserve">ms</t>
  </si>
  <si>
    <t xml:space="preserve">Estimated Throughput</t>
  </si>
  <si>
    <t xml:space="preserve">MACs/s</t>
  </si>
  <si>
    <t xml:space="preserve">Ops/s</t>
  </si>
  <si>
    <t xml:space="preserve">TOPS</t>
  </si>
  <si>
    <t xml:space="preserve">Utilization</t>
  </si>
  <si>
    <t xml:space="preserve">PE Utilization</t>
  </si>
  <si>
    <t xml:space="preserve">%</t>
  </si>
  <si>
    <t xml:space="preserve">Array Utilization</t>
  </si>
  <si>
    <t xml:space="preserve">PSUM Storage</t>
  </si>
  <si>
    <t xml:space="preserve">Estimated PSUM Accumulator Width</t>
  </si>
  <si>
    <t xml:space="preserve">Estimated PSUM Storage Requirement</t>
  </si>
  <si>
    <t xml:space="preserve">PSUM Memory Utilization</t>
  </si>
  <si>
    <t xml:space="preserve">Summary Dashboard — CIM Accelerator Architecture Estimate</t>
  </si>
  <si>
    <t xml:space="preserve">All values below are live links to the calculation sheets.</t>
  </si>
  <si>
    <t xml:space="preserve">Number of Arrays</t>
  </si>
  <si>
    <t xml:space="preserve">Total PEs</t>
  </si>
  <si>
    <t xml:space="preserve">Total ADCs</t>
  </si>
  <si>
    <t xml:space="preserve">Matrix Size (M x K x N)</t>
  </si>
  <si>
    <t xml:space="preserve">Total Tiles</t>
  </si>
  <si>
    <t xml:space="preserve">Total Batches</t>
  </si>
  <si>
    <t xml:space="preserve">Estimated Cycles</t>
  </si>
  <si>
    <t xml:space="preserve">Throughput</t>
  </si>
  <si>
    <t xml:space="preserve">PSUM Utilization</t>
  </si>
  <si>
    <t xml:space="preserve">Note: this is an architectural estimator (cycles, latency, throughput, utilization). It does not model analog device physics (settling time, noise, IR drop, etc.). See the Assumptions sheet for every modeling assumption.</t>
  </si>
  <si>
    <t xml:space="preserve">Assumptions</t>
  </si>
  <si>
    <t xml:space="preserve">This workbook is an architectural estimator for throughput, latency, utilization and workload mapping. It does NOT model analog device physics (IR drop, settling time, noise margins, thermal effects, etc.).</t>
  </si>
  <si>
    <t xml:space="preserve">#</t>
  </si>
  <si>
    <t xml:space="preserve">Assumption</t>
  </si>
  <si>
    <t xml:space="preserve">One ADC is assigned per column of a CIM array (ADCs per array = Array Cols).</t>
  </si>
  <si>
    <t xml:space="preserve">A 32x32 array contains 1024 Processing Elements (PEs per array = Array Rows x Array Cols).</t>
  </si>
  <si>
    <t xml:space="preserve">The (M x K) . (K x N) matrix multiplication is tiled spatially: K (contraction dim) is tiled by the array's row dimension; N (output dim) is tiled by the array's column dimension. M (tokens/rows) is streamed temporally through a tile, not tiled spatially.</t>
  </si>
  <si>
    <t xml:space="preserve">Total tiles required = CEILING(K / Array Rows) x CEILING(N / Array Cols).</t>
  </si>
  <si>
    <t xml:space="preserve">All CIM arrays execute their assigned tile in parallel within a batch.</t>
  </si>
  <si>
    <t xml:space="preserve">Batches required = CEILING(Total Tiles / Number of Arrays) — tiles that do not fit in one parallel round are processed in a subsequent batch, run sequentially.</t>
  </si>
  <si>
    <t xml:space="preserve">Cycles per tile pass follow a simple pipeline model: (M - 1) x Initiation Interval + ADC Conversion Latency (classic fill + drain latency), assuming one input row is accepted every 'Initiation Interval' cycles.</t>
  </si>
  <si>
    <t xml:space="preserve">Initiation Interval = CEILING(ADC Latency / Pipeline Stages) if Pipeline Stages &gt; 0, otherwise the full ADC Conversion Latency is charged every cycle (no pipelining).</t>
  </si>
  <si>
    <t xml:space="preserve">Total estimated cycles = Batches x Cycles per tile pass (batches are sequential; tiles within a batch are parallel across arrays).</t>
  </si>
  <si>
    <t xml:space="preserve">1 MAC (multiply-accumulate) is counted as 2 operations (1 multiply + 1 add) when converting MACs/s to Ops/s and TOPS.</t>
  </si>
  <si>
    <t xml:space="preserve">PE Utilization = Total useful MAC operations / (Total PEs x Total estimated cycles) — the fraction of total available PE-cycle capacity doing real work; a partially-filled final tile or batch will lower this.</t>
  </si>
  <si>
    <t xml:space="preserve">Array Utilization = Total Tiles / (Batches x Number of Arrays) — the fraction of array-slots actually used across all batches.</t>
  </si>
  <si>
    <t xml:space="preserve">Estimated PSUM accumulator width = Weight Precision + Activation Precision + log2(Array Rows), rounded up — a conservative bound on bit growth from summing partial products across the contraction dimension of one tile.</t>
  </si>
  <si>
    <t xml:space="preserve">Estimated PSUM storage requirement = M x N x (PSUM accumulator width in bits) / 8 / 1024, i.e. enough KB to hold the full M x N output tile's accumulators before write-back to on-chip memory.</t>
  </si>
  <si>
    <t xml:space="preserve">PSUM Memory Utilization compares the estimated requirement against the user-specified PSUM capacity input; values above 100% indicate the configured PSUM memory is undersized and results would need to be spilled or tiled further.</t>
  </si>
  <si>
    <t xml:space="preserve">Clock frequency is assumed constant (no dynamic voltage/frequency scaling) and applies uniformly to all arrays and the digital control/pipeline logic.</t>
  </si>
  <si>
    <t xml:space="preserve">All arrays are assumed identical in size, precision, and timing (no heterogeneous array configurations).</t>
  </si>
  <si>
    <t xml:space="preserve">Weight-write / reprogramming time for the analog CIM cells (e.g. for dynamic weights) is NOT included in this cycle/latency estimate — this model targets execution-cycle throughput only.</t>
  </si>
  <si>
    <t xml:space="preserve">ADC resolution, weight precision and activation precision are tracked as configuration inputs but do not independently affect the cycle-count formulas above beyond their role in PSUM width; they are provided for downstream accuracy/power modeling outside this workbook.</t>
  </si>
  <si>
    <t xml:space="preserve">This workbook is intended to validate architecture-level throughput/latency/utilization trends before implementing the detailed cim_sim Python simulator — it is not a substitute for cycle-accurate or SPICE-level simulation.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</si>
</sst>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General"/>
    <numFmt numFmtId="167" formatCode="0.00E+00"/>
    <numFmt numFmtId="168" formatCode="0.000000"/>
    <numFmt numFmtId="169" formatCode="#,##0.000"/>
    <numFmt numFmtId="170" formatCode="#,##0.00"/>
    <numFmt numFmtId="171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8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  <c r="B6" s="6" t="n">
        <v>32</v>
      </c>
      <c r="C6" s="7" t="s">
        <v>8</v>
      </c>
    </row>
    <row r="7" customFormat="false" ht="15" hidden="false" customHeight="false" outlineLevel="0" collapsed="false">
      <c r="A7" s="5" t="s">
        <v>9</v>
      </c>
      <c r="B7" s="6" t="n">
        <v>32</v>
      </c>
      <c r="C7" s="7" t="s">
        <v>10</v>
      </c>
    </row>
    <row r="8" customFormat="false" ht="15" hidden="false" customHeight="false" outlineLevel="0" collapsed="false">
      <c r="A8" s="5" t="s">
        <v>11</v>
      </c>
      <c r="B8" s="6" t="n">
        <v>16</v>
      </c>
      <c r="C8" s="7" t="s">
        <v>12</v>
      </c>
    </row>
    <row r="9" customFormat="false" ht="15" hidden="false" customHeight="false" outlineLevel="0" collapsed="false">
      <c r="A9" s="5" t="s">
        <v>13</v>
      </c>
      <c r="B9" s="6" t="n">
        <v>8</v>
      </c>
      <c r="C9" s="7" t="s">
        <v>14</v>
      </c>
    </row>
    <row r="10" customFormat="false" ht="15" hidden="false" customHeight="false" outlineLevel="0" collapsed="false">
      <c r="A10" s="5" t="s">
        <v>15</v>
      </c>
      <c r="B10" s="6" t="n">
        <v>4</v>
      </c>
      <c r="C10" s="7" t="s">
        <v>14</v>
      </c>
    </row>
    <row r="11" customFormat="false" ht="15" hidden="false" customHeight="false" outlineLevel="0" collapsed="false">
      <c r="A11" s="5" t="s">
        <v>16</v>
      </c>
      <c r="B11" s="6" t="n">
        <v>8</v>
      </c>
      <c r="C11" s="7" t="s">
        <v>14</v>
      </c>
    </row>
    <row r="12" customFormat="false" ht="15" hidden="false" customHeight="false" outlineLevel="0" collapsed="false">
      <c r="A12" s="5" t="s">
        <v>17</v>
      </c>
      <c r="B12" s="6" t="n">
        <v>500</v>
      </c>
      <c r="C12" s="7" t="s">
        <v>18</v>
      </c>
    </row>
    <row r="14" customFormat="false" ht="18" hidden="false" customHeight="true" outlineLevel="0" collapsed="false">
      <c r="A14" s="3" t="s">
        <v>19</v>
      </c>
      <c r="B14" s="3"/>
      <c r="C14" s="3"/>
      <c r="D14" s="3"/>
    </row>
    <row r="15" customFormat="false" ht="15" hidden="false" customHeight="false" outlineLevel="0" collapsed="false">
      <c r="A15" s="4" t="s">
        <v>3</v>
      </c>
      <c r="B15" s="4" t="s">
        <v>4</v>
      </c>
      <c r="C15" s="4" t="s">
        <v>5</v>
      </c>
      <c r="D15" s="4" t="s">
        <v>6</v>
      </c>
    </row>
    <row r="16" customFormat="false" ht="15" hidden="false" customHeight="false" outlineLevel="0" collapsed="false">
      <c r="A16" s="5" t="s">
        <v>20</v>
      </c>
      <c r="B16" s="6" t="n">
        <v>196</v>
      </c>
      <c r="C16" s="7" t="s">
        <v>21</v>
      </c>
    </row>
    <row r="17" customFormat="false" ht="15" hidden="false" customHeight="false" outlineLevel="0" collapsed="false">
      <c r="A17" s="5" t="s">
        <v>22</v>
      </c>
      <c r="B17" s="6" t="n">
        <v>160</v>
      </c>
      <c r="C17" s="7" t="s">
        <v>23</v>
      </c>
    </row>
    <row r="18" customFormat="false" ht="15" hidden="false" customHeight="false" outlineLevel="0" collapsed="false">
      <c r="A18" s="5" t="s">
        <v>24</v>
      </c>
      <c r="B18" s="6" t="n">
        <v>160</v>
      </c>
      <c r="C18" s="7" t="s">
        <v>23</v>
      </c>
    </row>
    <row r="20" customFormat="false" ht="18" hidden="false" customHeight="true" outlineLevel="0" collapsed="false">
      <c r="A20" s="3" t="s">
        <v>25</v>
      </c>
      <c r="B20" s="3"/>
      <c r="C20" s="3"/>
      <c r="D20" s="3"/>
    </row>
    <row r="21" customFormat="false" ht="15" hidden="false" customHeight="false" outlineLevel="0" collapsed="false">
      <c r="A21" s="4" t="s">
        <v>3</v>
      </c>
      <c r="B21" s="4" t="s">
        <v>4</v>
      </c>
      <c r="C21" s="4" t="s">
        <v>5</v>
      </c>
      <c r="D21" s="4" t="s">
        <v>6</v>
      </c>
    </row>
    <row r="22" customFormat="false" ht="15" hidden="false" customHeight="false" outlineLevel="0" collapsed="false">
      <c r="A22" s="5" t="s">
        <v>26</v>
      </c>
      <c r="B22" s="6" t="n">
        <v>64</v>
      </c>
      <c r="C22" s="7" t="s">
        <v>27</v>
      </c>
    </row>
    <row r="23" customFormat="false" ht="15" hidden="false" customHeight="false" outlineLevel="0" collapsed="false">
      <c r="A23" s="5" t="s">
        <v>28</v>
      </c>
      <c r="B23" s="6" t="n">
        <v>10</v>
      </c>
      <c r="C23" s="7" t="s">
        <v>29</v>
      </c>
    </row>
    <row r="24" customFormat="false" ht="15" hidden="false" customHeight="false" outlineLevel="0" collapsed="false">
      <c r="A24" s="5" t="s">
        <v>30</v>
      </c>
      <c r="B24" s="6" t="n">
        <v>4</v>
      </c>
      <c r="C24" s="7" t="s">
        <v>31</v>
      </c>
    </row>
  </sheetData>
  <mergeCells count="5">
    <mergeCell ref="A1:D1"/>
    <mergeCell ref="A2:D2"/>
    <mergeCell ref="A4:D4"/>
    <mergeCell ref="A14:D14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25.5" hidden="false" customHeight="true" outlineLevel="0" collapsed="false">
      <c r="A1" s="1" t="s">
        <v>32</v>
      </c>
      <c r="B1" s="1"/>
      <c r="C1" s="1"/>
      <c r="D1" s="1"/>
    </row>
    <row r="2" customFormat="false" ht="15" hidden="false" customHeight="false" outlineLevel="0" collapsed="false">
      <c r="A2" s="2" t="s">
        <v>33</v>
      </c>
      <c r="B2" s="2"/>
      <c r="C2" s="2"/>
      <c r="D2" s="2"/>
    </row>
    <row r="4" customFormat="false" ht="18" hidden="false" customHeight="true" outlineLevel="0" collapsed="false">
      <c r="A4" s="3" t="s">
        <v>34</v>
      </c>
      <c r="B4" s="3"/>
      <c r="C4" s="3"/>
      <c r="D4" s="3"/>
    </row>
    <row r="5" customFormat="false" ht="15" hidden="false" customHeight="false" outlineLevel="0" collapsed="false">
      <c r="A5" s="4" t="s">
        <v>35</v>
      </c>
      <c r="B5" s="4" t="s">
        <v>4</v>
      </c>
      <c r="C5" s="4" t="s">
        <v>5</v>
      </c>
      <c r="D5" s="4" t="s">
        <v>36</v>
      </c>
    </row>
    <row r="6" customFormat="false" ht="15" hidden="false" customHeight="false" outlineLevel="0" collapsed="false">
      <c r="A6" s="5" t="s">
        <v>37</v>
      </c>
      <c r="B6" s="8" t="n">
        <f aca="false">'User Inputs'!B6*'User Inputs'!B7</f>
        <v>1024</v>
      </c>
      <c r="C6" s="7" t="s">
        <v>38</v>
      </c>
    </row>
    <row r="7" customFormat="false" ht="15" hidden="false" customHeight="false" outlineLevel="0" collapsed="false">
      <c r="A7" s="5" t="s">
        <v>39</v>
      </c>
      <c r="B7" s="8" t="n">
        <f aca="false">B6*'User Inputs'!B8</f>
        <v>16384</v>
      </c>
      <c r="C7" s="7" t="s">
        <v>38</v>
      </c>
    </row>
    <row r="8" customFormat="false" ht="15" hidden="false" customHeight="false" outlineLevel="0" collapsed="false">
      <c r="A8" s="5" t="s">
        <v>40</v>
      </c>
      <c r="B8" s="8" t="n">
        <f aca="false">'User Inputs'!B7</f>
        <v>32</v>
      </c>
      <c r="C8" s="7" t="s">
        <v>41</v>
      </c>
    </row>
    <row r="9" customFormat="false" ht="15" hidden="false" customHeight="false" outlineLevel="0" collapsed="false">
      <c r="A9" s="5" t="s">
        <v>42</v>
      </c>
      <c r="B9" s="8" t="n">
        <f aca="false">B8*'User Inputs'!B8</f>
        <v>512</v>
      </c>
      <c r="C9" s="7" t="s">
        <v>41</v>
      </c>
    </row>
    <row r="11" customFormat="false" ht="18" hidden="false" customHeight="true" outlineLevel="0" collapsed="false">
      <c r="A11" s="3" t="s">
        <v>43</v>
      </c>
      <c r="B11" s="3"/>
      <c r="C11" s="3"/>
      <c r="D11" s="3"/>
    </row>
    <row r="12" customFormat="false" ht="15" hidden="false" customHeight="false" outlineLevel="0" collapsed="false">
      <c r="A12" s="4" t="s">
        <v>35</v>
      </c>
      <c r="B12" s="4" t="s">
        <v>4</v>
      </c>
      <c r="C12" s="4" t="s">
        <v>5</v>
      </c>
      <c r="D12" s="4" t="s">
        <v>36</v>
      </c>
    </row>
    <row r="13" customFormat="false" ht="15" hidden="false" customHeight="false" outlineLevel="0" collapsed="false">
      <c r="A13" s="5" t="s">
        <v>44</v>
      </c>
      <c r="B13" s="9" t="n">
        <f aca="false">IF('User Inputs'!B24&gt;0,CEILING('User Inputs'!B23/'User Inputs'!B24,1),'User Inputs'!B23)</f>
        <v>3</v>
      </c>
      <c r="C13" s="7" t="s">
        <v>45</v>
      </c>
    </row>
    <row r="14" customFormat="false" ht="15" hidden="false" customHeight="false" outlineLevel="0" collapsed="false">
      <c r="A14" s="5" t="s">
        <v>46</v>
      </c>
      <c r="B14" s="10" t="n">
        <f aca="false">1/('User Inputs'!B12*1000000)</f>
        <v>2E-009</v>
      </c>
      <c r="C14" s="7" t="s">
        <v>47</v>
      </c>
    </row>
  </sheetData>
  <mergeCells count="4">
    <mergeCell ref="A1:D1"/>
    <mergeCell ref="A2:D2"/>
    <mergeCell ref="A4:D4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25.5" hidden="false" customHeight="true" outlineLevel="0" collapsed="false">
      <c r="A1" s="1" t="s">
        <v>48</v>
      </c>
      <c r="B1" s="1"/>
      <c r="C1" s="1"/>
      <c r="D1" s="1"/>
    </row>
    <row r="2" customFormat="false" ht="15" hidden="false" customHeight="false" outlineLevel="0" collapsed="false">
      <c r="A2" s="2" t="s">
        <v>49</v>
      </c>
      <c r="B2" s="2"/>
      <c r="C2" s="2"/>
      <c r="D2" s="2"/>
    </row>
    <row r="4" customFormat="false" ht="18" hidden="false" customHeight="true" outlineLevel="0" collapsed="false">
      <c r="A4" s="3" t="s">
        <v>50</v>
      </c>
      <c r="B4" s="3"/>
      <c r="C4" s="3"/>
      <c r="D4" s="3"/>
    </row>
    <row r="5" customFormat="false" ht="15" hidden="false" customHeight="false" outlineLevel="0" collapsed="false">
      <c r="A5" s="4" t="s">
        <v>35</v>
      </c>
      <c r="B5" s="4" t="s">
        <v>4</v>
      </c>
      <c r="C5" s="4" t="s">
        <v>5</v>
      </c>
      <c r="D5" s="4" t="s">
        <v>36</v>
      </c>
    </row>
    <row r="6" customFormat="false" ht="15" hidden="false" customHeight="false" outlineLevel="0" collapsed="false">
      <c r="A6" s="5" t="s">
        <v>51</v>
      </c>
      <c r="B6" s="9" t="n">
        <f aca="false">CEILING('User Inputs'!B17/'User Inputs'!B6,1)</f>
        <v>5</v>
      </c>
      <c r="C6" s="7" t="s">
        <v>52</v>
      </c>
    </row>
    <row r="7" customFormat="false" ht="15" hidden="false" customHeight="false" outlineLevel="0" collapsed="false">
      <c r="A7" s="5" t="s">
        <v>53</v>
      </c>
      <c r="B7" s="9" t="n">
        <f aca="false">CEILING('User Inputs'!B18/'User Inputs'!B7,1)</f>
        <v>5</v>
      </c>
      <c r="C7" s="7" t="s">
        <v>52</v>
      </c>
    </row>
    <row r="8" customFormat="false" ht="15" hidden="false" customHeight="false" outlineLevel="0" collapsed="false">
      <c r="A8" s="5" t="s">
        <v>54</v>
      </c>
      <c r="B8" s="9" t="n">
        <f aca="false">B6*B7</f>
        <v>25</v>
      </c>
      <c r="C8" s="7" t="s">
        <v>52</v>
      </c>
    </row>
    <row r="9" customFormat="false" ht="15" hidden="false" customHeight="false" outlineLevel="0" collapsed="false">
      <c r="A9" s="5" t="s">
        <v>55</v>
      </c>
      <c r="B9" s="9" t="n">
        <f aca="false">'User Inputs'!B8</f>
        <v>16</v>
      </c>
      <c r="C9" s="7" t="s">
        <v>12</v>
      </c>
    </row>
    <row r="10" customFormat="false" ht="15" hidden="false" customHeight="false" outlineLevel="0" collapsed="false">
      <c r="A10" s="5" t="s">
        <v>56</v>
      </c>
      <c r="B10" s="9" t="n">
        <f aca="false">CEILING(B8/B9,1)</f>
        <v>2</v>
      </c>
      <c r="C10" s="7" t="s">
        <v>57</v>
      </c>
    </row>
    <row r="12" customFormat="false" ht="18" hidden="false" customHeight="true" outlineLevel="0" collapsed="false">
      <c r="A12" s="3" t="s">
        <v>58</v>
      </c>
      <c r="B12" s="3"/>
      <c r="C12" s="3"/>
      <c r="D12" s="3"/>
    </row>
    <row r="13" customFormat="false" ht="15" hidden="false" customHeight="false" outlineLevel="0" collapsed="false">
      <c r="A13" s="4" t="s">
        <v>35</v>
      </c>
      <c r="B13" s="4" t="s">
        <v>4</v>
      </c>
      <c r="C13" s="4" t="s">
        <v>5</v>
      </c>
      <c r="D13" s="4" t="s">
        <v>36</v>
      </c>
    </row>
    <row r="14" customFormat="false" ht="15" hidden="false" customHeight="false" outlineLevel="0" collapsed="false">
      <c r="A14" s="5" t="s">
        <v>59</v>
      </c>
      <c r="B14" s="8" t="n">
        <f aca="false">'User Inputs'!B16*'User Inputs'!B17*'User Inputs'!B18</f>
        <v>5017600</v>
      </c>
      <c r="C14" s="7" t="s">
        <v>60</v>
      </c>
    </row>
  </sheetData>
  <mergeCells count="4">
    <mergeCell ref="A1:D1"/>
    <mergeCell ref="A2:D2"/>
    <mergeCell ref="A4:D4"/>
    <mergeCell ref="A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25.5" hidden="false" customHeight="true" outlineLevel="0" collapsed="false">
      <c r="A1" s="1" t="s">
        <v>61</v>
      </c>
      <c r="B1" s="1"/>
      <c r="C1" s="1"/>
      <c r="D1" s="1"/>
    </row>
    <row r="2" customFormat="false" ht="15" hidden="false" customHeight="false" outlineLevel="0" collapsed="false">
      <c r="A2" s="2" t="s">
        <v>62</v>
      </c>
      <c r="B2" s="2"/>
      <c r="C2" s="2"/>
      <c r="D2" s="2"/>
    </row>
    <row r="4" customFormat="false" ht="18" hidden="false" customHeight="true" outlineLevel="0" collapsed="false">
      <c r="A4" s="3" t="s">
        <v>63</v>
      </c>
      <c r="B4" s="3"/>
      <c r="C4" s="3"/>
      <c r="D4" s="3"/>
    </row>
    <row r="5" customFormat="false" ht="15" hidden="false" customHeight="false" outlineLevel="0" collapsed="false">
      <c r="A5" s="4" t="s">
        <v>35</v>
      </c>
      <c r="B5" s="4" t="s">
        <v>4</v>
      </c>
      <c r="C5" s="4" t="s">
        <v>5</v>
      </c>
      <c r="D5" s="4" t="s">
        <v>36</v>
      </c>
    </row>
    <row r="6" customFormat="false" ht="15" hidden="false" customHeight="false" outlineLevel="0" collapsed="false">
      <c r="A6" s="5" t="s">
        <v>64</v>
      </c>
      <c r="B6" s="8" t="n">
        <f aca="false">('User Inputs'!B16-1)*'Derived Hardware Parameters'!B13+'User Inputs'!B23</f>
        <v>595</v>
      </c>
      <c r="C6" s="7" t="s">
        <v>29</v>
      </c>
    </row>
    <row r="7" customFormat="false" ht="15" hidden="false" customHeight="false" outlineLevel="0" collapsed="false">
      <c r="A7" s="5" t="s">
        <v>65</v>
      </c>
      <c r="B7" s="8" t="n">
        <f aca="false">'Workload Mapping'!B10*B6</f>
        <v>1190</v>
      </c>
      <c r="C7" s="7" t="s">
        <v>29</v>
      </c>
    </row>
    <row r="9" customFormat="false" ht="18" hidden="false" customHeight="true" outlineLevel="0" collapsed="false">
      <c r="A9" s="3" t="s">
        <v>66</v>
      </c>
      <c r="B9" s="3"/>
      <c r="C9" s="3"/>
      <c r="D9" s="3"/>
    </row>
    <row r="10" customFormat="false" ht="15" hidden="false" customHeight="false" outlineLevel="0" collapsed="false">
      <c r="A10" s="4" t="s">
        <v>35</v>
      </c>
      <c r="B10" s="4" t="s">
        <v>4</v>
      </c>
      <c r="C10" s="4" t="s">
        <v>5</v>
      </c>
      <c r="D10" s="4" t="s">
        <v>36</v>
      </c>
    </row>
    <row r="11" customFormat="false" ht="15" hidden="false" customHeight="false" outlineLevel="0" collapsed="false">
      <c r="A11" s="5" t="s">
        <v>67</v>
      </c>
      <c r="B11" s="11" t="n">
        <f aca="false">B7/('User Inputs'!B12*1000000)</f>
        <v>2.38E-006</v>
      </c>
      <c r="C11" s="7" t="s">
        <v>47</v>
      </c>
    </row>
    <row r="12" customFormat="false" ht="15" hidden="false" customHeight="false" outlineLevel="0" collapsed="false">
      <c r="A12" s="5" t="s">
        <v>67</v>
      </c>
      <c r="B12" s="12" t="n">
        <f aca="false">B11*1000</f>
        <v>0.00238</v>
      </c>
      <c r="C12" s="7" t="s">
        <v>68</v>
      </c>
    </row>
    <row r="13" customFormat="false" ht="15" hidden="false" customHeight="false" outlineLevel="0" collapsed="false">
      <c r="A13" s="5" t="s">
        <v>69</v>
      </c>
      <c r="B13" s="10" t="n">
        <f aca="false">'Workload Mapping'!B14/B11</f>
        <v>2108235294117.65</v>
      </c>
      <c r="C13" s="7" t="s">
        <v>70</v>
      </c>
    </row>
    <row r="14" customFormat="false" ht="15" hidden="false" customHeight="false" outlineLevel="0" collapsed="false">
      <c r="A14" s="5" t="s">
        <v>69</v>
      </c>
      <c r="B14" s="10" t="n">
        <f aca="false">B13*2</f>
        <v>4216470588235.29</v>
      </c>
      <c r="C14" s="7" t="s">
        <v>71</v>
      </c>
    </row>
    <row r="15" customFormat="false" ht="15" hidden="false" customHeight="false" outlineLevel="0" collapsed="false">
      <c r="A15" s="5" t="s">
        <v>69</v>
      </c>
      <c r="B15" s="13" t="n">
        <f aca="false">B14/1000000000000</f>
        <v>4.21647058823529</v>
      </c>
      <c r="C15" s="7" t="s">
        <v>72</v>
      </c>
    </row>
    <row r="17" customFormat="false" ht="18" hidden="false" customHeight="true" outlineLevel="0" collapsed="false">
      <c r="A17" s="3" t="s">
        <v>73</v>
      </c>
      <c r="B17" s="3"/>
      <c r="C17" s="3"/>
      <c r="D17" s="3"/>
    </row>
    <row r="18" customFormat="false" ht="15" hidden="false" customHeight="false" outlineLevel="0" collapsed="false">
      <c r="A18" s="4" t="s">
        <v>35</v>
      </c>
      <c r="B18" s="4" t="s">
        <v>4</v>
      </c>
      <c r="C18" s="4" t="s">
        <v>5</v>
      </c>
      <c r="D18" s="4" t="s">
        <v>36</v>
      </c>
    </row>
    <row r="19" customFormat="false" ht="15" hidden="false" customHeight="false" outlineLevel="0" collapsed="false">
      <c r="A19" s="5" t="s">
        <v>74</v>
      </c>
      <c r="B19" s="14" t="n">
        <f aca="false">'Workload Mapping'!B14/('Derived Hardware Parameters'!B7*B7)</f>
        <v>0.257352941176471</v>
      </c>
      <c r="C19" s="7" t="s">
        <v>75</v>
      </c>
    </row>
    <row r="20" customFormat="false" ht="15" hidden="false" customHeight="false" outlineLevel="0" collapsed="false">
      <c r="A20" s="5" t="s">
        <v>76</v>
      </c>
      <c r="B20" s="14" t="n">
        <f aca="false">'Workload Mapping'!B8/('Workload Mapping'!B10*'Workload Mapping'!B9)</f>
        <v>0.78125</v>
      </c>
      <c r="C20" s="7" t="s">
        <v>75</v>
      </c>
    </row>
    <row r="22" customFormat="false" ht="18" hidden="false" customHeight="true" outlineLevel="0" collapsed="false">
      <c r="A22" s="3" t="s">
        <v>77</v>
      </c>
      <c r="B22" s="3"/>
      <c r="C22" s="3"/>
      <c r="D22" s="3"/>
    </row>
    <row r="23" customFormat="false" ht="15" hidden="false" customHeight="false" outlineLevel="0" collapsed="false">
      <c r="A23" s="4" t="s">
        <v>35</v>
      </c>
      <c r="B23" s="4" t="s">
        <v>4</v>
      </c>
      <c r="C23" s="4" t="s">
        <v>5</v>
      </c>
      <c r="D23" s="4" t="s">
        <v>36</v>
      </c>
    </row>
    <row r="24" customFormat="false" ht="15" hidden="false" customHeight="false" outlineLevel="0" collapsed="false">
      <c r="A24" s="5" t="s">
        <v>78</v>
      </c>
      <c r="B24" s="8" t="n">
        <f aca="false">'User Inputs'!B10+'User Inputs'!B11+ROUNDUP(LOG('User Inputs'!B6,2),0)</f>
        <v>17</v>
      </c>
      <c r="C24" s="7" t="s">
        <v>14</v>
      </c>
    </row>
    <row r="25" customFormat="false" ht="15" hidden="false" customHeight="false" outlineLevel="0" collapsed="false">
      <c r="A25" s="5" t="s">
        <v>79</v>
      </c>
      <c r="B25" s="13" t="n">
        <f aca="false">'User Inputs'!B16*'User Inputs'!B18*B24/8/1024</f>
        <v>65.078125</v>
      </c>
      <c r="C25" s="7" t="s">
        <v>27</v>
      </c>
    </row>
    <row r="26" customFormat="false" ht="15" hidden="false" customHeight="false" outlineLevel="0" collapsed="false">
      <c r="A26" s="5" t="s">
        <v>80</v>
      </c>
      <c r="B26" s="14" t="n">
        <f aca="false">B25/'User Inputs'!B22</f>
        <v>1.016845703125</v>
      </c>
      <c r="C26" s="7" t="s">
        <v>75</v>
      </c>
    </row>
  </sheetData>
  <mergeCells count="6">
    <mergeCell ref="A1:D1"/>
    <mergeCell ref="A2:D2"/>
    <mergeCell ref="A4:D4"/>
    <mergeCell ref="A9:D9"/>
    <mergeCell ref="A17:D17"/>
    <mergeCell ref="A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20"/>
  </cols>
  <sheetData>
    <row r="1" customFormat="false" ht="25.5" hidden="false" customHeight="true" outlineLevel="0" collapsed="false">
      <c r="A1" s="1" t="s">
        <v>81</v>
      </c>
      <c r="B1" s="1"/>
      <c r="C1" s="1"/>
      <c r="D1" s="1"/>
    </row>
    <row r="2" customFormat="false" ht="15" hidden="false" customHeight="false" outlineLevel="0" collapsed="false">
      <c r="A2" s="2" t="s">
        <v>82</v>
      </c>
      <c r="B2" s="2"/>
      <c r="C2" s="2"/>
      <c r="D2" s="2"/>
    </row>
    <row r="4" customFormat="false" ht="19.5" hidden="false" customHeight="true" outlineLevel="0" collapsed="false">
      <c r="A4" s="15" t="s">
        <v>83</v>
      </c>
      <c r="B4" s="15" t="s">
        <v>84</v>
      </c>
      <c r="C4" s="15" t="s">
        <v>85</v>
      </c>
      <c r="D4" s="15" t="s">
        <v>86</v>
      </c>
    </row>
    <row r="5" customFormat="false" ht="19.5" hidden="false" customHeight="true" outlineLevel="0" collapsed="false">
      <c r="A5" s="16" t="n">
        <f aca="false">'User Inputs'!B8</f>
        <v>16</v>
      </c>
      <c r="B5" s="16" t="n">
        <f aca="false">'Derived Hardware Parameters'!B7</f>
        <v>16384</v>
      </c>
      <c r="C5" s="16" t="n">
        <f aca="false">'Derived Hardware Parameters'!B9</f>
        <v>512</v>
      </c>
      <c r="D5" s="17" t="str">
        <f aca="false">'User Inputs'!B16&amp;" x "&amp;'User Inputs'!B17&amp;" x "&amp;'User Inputs'!B18</f>
        <v>196 x 160 x 160</v>
      </c>
    </row>
    <row r="6" customFormat="false" ht="19.5" hidden="false" customHeight="true" outlineLevel="0" collapsed="false">
      <c r="A6" s="18" t="s">
        <v>12</v>
      </c>
      <c r="B6" s="18" t="s">
        <v>38</v>
      </c>
      <c r="C6" s="18" t="s">
        <v>41</v>
      </c>
    </row>
    <row r="7" customFormat="false" ht="19.5" hidden="false" customHeight="true" outlineLevel="0" collapsed="false">
      <c r="A7" s="15" t="s">
        <v>87</v>
      </c>
      <c r="B7" s="15" t="s">
        <v>88</v>
      </c>
      <c r="C7" s="15" t="s">
        <v>89</v>
      </c>
      <c r="D7" s="15" t="s">
        <v>67</v>
      </c>
    </row>
    <row r="8" customFormat="false" ht="19.5" hidden="false" customHeight="true" outlineLevel="0" collapsed="false">
      <c r="A8" s="16" t="n">
        <f aca="false">'Workload Mapping'!B8</f>
        <v>25</v>
      </c>
      <c r="B8" s="16" t="n">
        <f aca="false">'Workload Mapping'!B10</f>
        <v>2</v>
      </c>
      <c r="C8" s="16" t="n">
        <f aca="false">'Performance Estimation'!B7</f>
        <v>1190</v>
      </c>
      <c r="D8" s="19" t="n">
        <f aca="false">'Performance Estimation'!B12</f>
        <v>0.00238</v>
      </c>
    </row>
    <row r="9" customFormat="false" ht="19.5" hidden="false" customHeight="true" outlineLevel="0" collapsed="false">
      <c r="A9" s="18" t="s">
        <v>52</v>
      </c>
      <c r="B9" s="18" t="s">
        <v>57</v>
      </c>
      <c r="C9" s="18" t="s">
        <v>29</v>
      </c>
      <c r="D9" s="18" t="s">
        <v>68</v>
      </c>
    </row>
    <row r="10" customFormat="false" ht="19.5" hidden="false" customHeight="true" outlineLevel="0" collapsed="false">
      <c r="A10" s="15" t="s">
        <v>90</v>
      </c>
      <c r="B10" s="15" t="s">
        <v>74</v>
      </c>
      <c r="C10" s="15" t="s">
        <v>76</v>
      </c>
      <c r="D10" s="15" t="s">
        <v>91</v>
      </c>
    </row>
    <row r="11" customFormat="false" ht="19.5" hidden="false" customHeight="true" outlineLevel="0" collapsed="false">
      <c r="A11" s="20" t="n">
        <f aca="false">'Performance Estimation'!B15</f>
        <v>4.21647058823529</v>
      </c>
      <c r="B11" s="21" t="n">
        <f aca="false">'Performance Estimation'!B19</f>
        <v>0.257352941176471</v>
      </c>
      <c r="C11" s="21" t="n">
        <f aca="false">'Performance Estimation'!B20</f>
        <v>0.78125</v>
      </c>
      <c r="D11" s="21" t="n">
        <f aca="false">'Performance Estimation'!B26</f>
        <v>1.016845703125</v>
      </c>
    </row>
    <row r="12" customFormat="false" ht="19.5" hidden="false" customHeight="true" outlineLevel="0" collapsed="false">
      <c r="A12" s="18" t="s">
        <v>72</v>
      </c>
    </row>
    <row r="13" customFormat="false" ht="19.5" hidden="false" customHeight="true" outlineLevel="0" collapsed="false"/>
    <row r="14" customFormat="false" ht="30" hidden="false" customHeight="true" outlineLevel="0" collapsed="false">
      <c r="A14" s="22" t="s">
        <v>92</v>
      </c>
      <c r="B14" s="22"/>
      <c r="C14" s="22"/>
      <c r="D14" s="22"/>
    </row>
  </sheetData>
  <mergeCells count="3">
    <mergeCell ref="A1:D1"/>
    <mergeCell ref="A2:D2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5"/>
  </cols>
  <sheetData>
    <row r="1" customFormat="false" ht="25.5" hidden="false" customHeight="true" outlineLevel="0" collapsed="false">
      <c r="A1" s="1" t="s">
        <v>93</v>
      </c>
      <c r="B1" s="1"/>
    </row>
    <row r="2" customFormat="false" ht="27.75" hidden="false" customHeight="true" outlineLevel="0" collapsed="false">
      <c r="A2" s="22" t="s">
        <v>94</v>
      </c>
      <c r="B2" s="22"/>
    </row>
    <row r="4" customFormat="false" ht="15" hidden="false" customHeight="false" outlineLevel="0" collapsed="false">
      <c r="A4" s="4" t="s">
        <v>95</v>
      </c>
      <c r="B4" s="4" t="s">
        <v>96</v>
      </c>
    </row>
    <row r="5" customFormat="false" ht="30" hidden="false" customHeight="true" outlineLevel="0" collapsed="false">
      <c r="A5" s="23" t="n">
        <v>1</v>
      </c>
      <c r="B5" s="24" t="s">
        <v>97</v>
      </c>
    </row>
    <row r="6" customFormat="false" ht="30" hidden="false" customHeight="true" outlineLevel="0" collapsed="false">
      <c r="A6" s="23" t="n">
        <v>2</v>
      </c>
      <c r="B6" s="24" t="s">
        <v>98</v>
      </c>
    </row>
    <row r="7" customFormat="false" ht="30" hidden="false" customHeight="true" outlineLevel="0" collapsed="false">
      <c r="A7" s="23" t="n">
        <v>3</v>
      </c>
      <c r="B7" s="24" t="s">
        <v>99</v>
      </c>
    </row>
    <row r="8" customFormat="false" ht="30" hidden="false" customHeight="true" outlineLevel="0" collapsed="false">
      <c r="A8" s="23" t="n">
        <v>4</v>
      </c>
      <c r="B8" s="24" t="s">
        <v>100</v>
      </c>
    </row>
    <row r="9" customFormat="false" ht="30" hidden="false" customHeight="true" outlineLevel="0" collapsed="false">
      <c r="A9" s="23" t="n">
        <v>5</v>
      </c>
      <c r="B9" s="24" t="s">
        <v>101</v>
      </c>
    </row>
    <row r="10" customFormat="false" ht="30" hidden="false" customHeight="true" outlineLevel="0" collapsed="false">
      <c r="A10" s="23" t="n">
        <v>6</v>
      </c>
      <c r="B10" s="24" t="s">
        <v>102</v>
      </c>
    </row>
    <row r="11" customFormat="false" ht="30" hidden="false" customHeight="true" outlineLevel="0" collapsed="false">
      <c r="A11" s="23" t="n">
        <v>7</v>
      </c>
      <c r="B11" s="24" t="s">
        <v>103</v>
      </c>
    </row>
    <row r="12" customFormat="false" ht="30" hidden="false" customHeight="true" outlineLevel="0" collapsed="false">
      <c r="A12" s="23" t="n">
        <v>8</v>
      </c>
      <c r="B12" s="24" t="s">
        <v>104</v>
      </c>
    </row>
    <row r="13" customFormat="false" ht="30" hidden="false" customHeight="true" outlineLevel="0" collapsed="false">
      <c r="A13" s="23" t="n">
        <v>9</v>
      </c>
      <c r="B13" s="24" t="s">
        <v>105</v>
      </c>
    </row>
    <row r="14" customFormat="false" ht="30" hidden="false" customHeight="true" outlineLevel="0" collapsed="false">
      <c r="A14" s="23" t="n">
        <v>10</v>
      </c>
      <c r="B14" s="24" t="s">
        <v>106</v>
      </c>
    </row>
    <row r="15" customFormat="false" ht="30" hidden="false" customHeight="true" outlineLevel="0" collapsed="false">
      <c r="A15" s="23" t="n">
        <v>11</v>
      </c>
      <c r="B15" s="24" t="s">
        <v>107</v>
      </c>
    </row>
    <row r="16" customFormat="false" ht="30" hidden="false" customHeight="true" outlineLevel="0" collapsed="false">
      <c r="A16" s="23" t="n">
        <v>12</v>
      </c>
      <c r="B16" s="24" t="s">
        <v>108</v>
      </c>
    </row>
    <row r="17" customFormat="false" ht="30" hidden="false" customHeight="true" outlineLevel="0" collapsed="false">
      <c r="A17" s="23" t="n">
        <v>13</v>
      </c>
      <c r="B17" s="24" t="s">
        <v>109</v>
      </c>
    </row>
    <row r="18" customFormat="false" ht="30" hidden="false" customHeight="true" outlineLevel="0" collapsed="false">
      <c r="A18" s="23" t="n">
        <v>14</v>
      </c>
      <c r="B18" s="24" t="s">
        <v>110</v>
      </c>
    </row>
    <row r="19" customFormat="false" ht="30" hidden="false" customHeight="true" outlineLevel="0" collapsed="false">
      <c r="A19" s="23" t="n">
        <v>15</v>
      </c>
      <c r="B19" s="24" t="s">
        <v>111</v>
      </c>
    </row>
    <row r="20" customFormat="false" ht="30" hidden="false" customHeight="true" outlineLevel="0" collapsed="false">
      <c r="A20" s="23" t="n">
        <v>16</v>
      </c>
      <c r="B20" s="24" t="s">
        <v>112</v>
      </c>
    </row>
    <row r="21" customFormat="false" ht="30" hidden="false" customHeight="true" outlineLevel="0" collapsed="false">
      <c r="A21" s="23" t="n">
        <v>17</v>
      </c>
      <c r="B21" s="24" t="s">
        <v>113</v>
      </c>
    </row>
    <row r="22" customFormat="false" ht="30" hidden="false" customHeight="true" outlineLevel="0" collapsed="false">
      <c r="A22" s="23" t="n">
        <v>18</v>
      </c>
      <c r="B22" s="24" t="s">
        <v>114</v>
      </c>
    </row>
    <row r="23" customFormat="false" ht="30" hidden="false" customHeight="true" outlineLevel="0" collapsed="false">
      <c r="A23" s="23" t="n">
        <v>19</v>
      </c>
      <c r="B23" s="24" t="s">
        <v>115</v>
      </c>
    </row>
    <row r="24" customFormat="false" ht="30" hidden="false" customHeight="true" outlineLevel="0" collapsed="false">
      <c r="A24" s="23" t="n">
        <v>20</v>
      </c>
      <c r="B24" s="24" t="s">
        <v>116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2026-08-10T10:50:03Z</dcterms:created>
  <dc:creator>openpyxl</dc:creator>
  <dc:description/>
  <dc:language>en-US</dc:language>
  <cp:lastModifiedBy/>
  <dcterms:modified xsi:type="dcterms:W3CDTF">2026-08-10T10:50:03Z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